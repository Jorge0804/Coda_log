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Coda_Log\"/>
    </mc:Choice>
  </mc:AlternateContent>
  <bookViews>
    <workbookView xWindow="0" yWindow="0" windowWidth="20490" windowHeight="7155" tabRatio="638" activeTab="1"/>
  </bookViews>
  <sheets>
    <sheet name="ER18" sheetId="24" r:id="rId1"/>
    <sheet name="Cot" sheetId="41" r:id="rId2"/>
  </sheets>
  <externalReferences>
    <externalReference r:id="rId3"/>
    <externalReference r:id="rId4"/>
  </externalReferences>
  <definedNames>
    <definedName name="_xlnm._FilterDatabase" localSheetId="1" hidden="1">Cot!$A$1:$ME$3</definedName>
    <definedName name="Conexión">[1]Hoja2!$A$1:$A$2</definedName>
    <definedName name="RUTA">#REF!</definedName>
    <definedName name="solver_adj" localSheetId="1" hidden="1">Cot!$G$2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0</definedName>
    <definedName name="solver_nwt" localSheetId="1" hidden="1">1</definedName>
    <definedName name="solver_opt" localSheetId="1" hidden="1">Cot!$AY$2</definedName>
    <definedName name="solver_pre" localSheetId="1" hidden="1">0.000001</definedName>
    <definedName name="solver_rbv" localSheetId="1" hidden="1">1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3</definedName>
    <definedName name="solver_val" localSheetId="1" hidden="1">0.1001001</definedName>
    <definedName name="solver_ver" localSheetId="1" hidden="1">3</definedName>
    <definedName name="Tipo">[2]Sencillo!$K$5:$K$7</definedName>
    <definedName name="tipounidad">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B6" i="41" l="1"/>
  <c r="LZ6" i="41" s="1"/>
  <c r="LY6" i="41"/>
  <c r="LX6" i="41"/>
  <c r="LV6" i="41" s="1"/>
  <c r="LU6" i="41"/>
  <c r="LT6" i="41"/>
  <c r="LS6" i="41"/>
  <c r="LR6" i="41"/>
  <c r="LP6" i="41" s="1"/>
  <c r="LO6" i="41"/>
  <c r="LM6" i="41" s="1"/>
  <c r="LL6" i="41"/>
  <c r="LK6" i="41"/>
  <c r="LI6" i="41"/>
  <c r="LH6" i="41"/>
  <c r="KR6" i="41"/>
  <c r="KP6" i="41" s="1"/>
  <c r="KO6" i="41"/>
  <c r="KN6" i="41"/>
  <c r="KL6" i="41" s="1"/>
  <c r="KK6" i="41"/>
  <c r="KJ6" i="41"/>
  <c r="KI6" i="41"/>
  <c r="KH6" i="41"/>
  <c r="KF6" i="41" s="1"/>
  <c r="KE6" i="41"/>
  <c r="KC6" i="41" s="1"/>
  <c r="KB6" i="41"/>
  <c r="KA6" i="41"/>
  <c r="JY6" i="41" s="1"/>
  <c r="JX6" i="41"/>
  <c r="JH6" i="41"/>
  <c r="JF6" i="41" s="1"/>
  <c r="JE6" i="41"/>
  <c r="JD6" i="41"/>
  <c r="JB6" i="41" s="1"/>
  <c r="JA6" i="41"/>
  <c r="IZ6" i="41"/>
  <c r="IY6" i="41"/>
  <c r="IX6" i="41"/>
  <c r="IV6" i="41" s="1"/>
  <c r="IU6" i="41"/>
  <c r="IS6" i="41"/>
  <c r="IR6" i="41"/>
  <c r="IQ6" i="41"/>
  <c r="IO6" i="41" s="1"/>
  <c r="IN6" i="41"/>
  <c r="HX6" i="41"/>
  <c r="HV6" i="41" s="1"/>
  <c r="HU6" i="41"/>
  <c r="HT6" i="41"/>
  <c r="HQ6" i="41"/>
  <c r="HP6" i="41"/>
  <c r="HL6" i="41" s="1"/>
  <c r="HO6" i="41"/>
  <c r="HN6" i="41"/>
  <c r="HK6" i="41"/>
  <c r="HI6" i="41" s="1"/>
  <c r="HH6" i="41"/>
  <c r="HG6" i="41"/>
  <c r="HD6" i="41"/>
  <c r="GN6" i="41"/>
  <c r="GL6" i="41" s="1"/>
  <c r="GK6" i="41"/>
  <c r="GJ6" i="41"/>
  <c r="GH6" i="41" s="1"/>
  <c r="GG6" i="41"/>
  <c r="GF6" i="41"/>
  <c r="GE6" i="41"/>
  <c r="GD6" i="41"/>
  <c r="GA6" i="41"/>
  <c r="FY6" i="41" s="1"/>
  <c r="FX6" i="41"/>
  <c r="FW6" i="41"/>
  <c r="FT6" i="41"/>
  <c r="FD6" i="41"/>
  <c r="FB6" i="41" s="1"/>
  <c r="FA6" i="41"/>
  <c r="EZ6" i="41"/>
  <c r="EW6" i="41"/>
  <c r="EV6" i="41"/>
  <c r="EU6" i="41"/>
  <c r="ET6" i="41"/>
  <c r="EQ6" i="41"/>
  <c r="EO6" i="41" s="1"/>
  <c r="EN6" i="41"/>
  <c r="EM6" i="41"/>
  <c r="EJ6" i="41"/>
  <c r="DT6" i="41"/>
  <c r="DR6" i="41" s="1"/>
  <c r="DQ6" i="41"/>
  <c r="DP6" i="41"/>
  <c r="DM6" i="41"/>
  <c r="DL6" i="41"/>
  <c r="DK6" i="41"/>
  <c r="DJ6" i="41"/>
  <c r="DG6" i="41"/>
  <c r="DE6" i="41" s="1"/>
  <c r="DD6" i="41"/>
  <c r="DC6" i="41"/>
  <c r="CZ6" i="41"/>
  <c r="CJ6" i="41"/>
  <c r="CH6" i="41" s="1"/>
  <c r="CG6" i="41"/>
  <c r="CF6" i="41"/>
  <c r="CC6" i="41"/>
  <c r="CB6" i="41"/>
  <c r="CA6" i="41"/>
  <c r="BZ6" i="41"/>
  <c r="BW6" i="41"/>
  <c r="BU6" i="41" s="1"/>
  <c r="BT6" i="41"/>
  <c r="BS6" i="41"/>
  <c r="BP6" i="41"/>
  <c r="AW6" i="41"/>
  <c r="AU6" i="41" s="1"/>
  <c r="AT6" i="41"/>
  <c r="AS6" i="41"/>
  <c r="AP6" i="41"/>
  <c r="AO6" i="41"/>
  <c r="AN6" i="41"/>
  <c r="AM6" i="41"/>
  <c r="AJ6" i="41"/>
  <c r="AH6" i="41" s="1"/>
  <c r="AG6" i="41"/>
  <c r="AF6" i="41"/>
  <c r="AD6" i="41" s="1"/>
  <c r="AC6" i="41"/>
  <c r="H6" i="41"/>
  <c r="GB6" i="41" l="1"/>
  <c r="AK6" i="41"/>
  <c r="CD6" i="41"/>
  <c r="EK6" i="41"/>
  <c r="FU6" i="41"/>
  <c r="HR6" i="41"/>
  <c r="ER6" i="41"/>
  <c r="AQ6" i="41"/>
  <c r="BQ6" i="41"/>
  <c r="DH6" i="41"/>
  <c r="HE6" i="41"/>
  <c r="DA6" i="41"/>
  <c r="DN6" i="41"/>
  <c r="BX6" i="41"/>
  <c r="EX6" i="41"/>
  <c r="R6" i="41"/>
  <c r="G6" i="41"/>
  <c r="BA6" i="41"/>
  <c r="L6" i="41" s="1"/>
  <c r="CY6" i="41" s="1"/>
  <c r="BO6" i="41"/>
  <c r="FS6" i="41"/>
  <c r="HC6" i="41"/>
  <c r="MB7" i="41"/>
  <c r="LZ7" i="41" s="1"/>
  <c r="LY7" i="41"/>
  <c r="LX7" i="41"/>
  <c r="LV7" i="41" s="1"/>
  <c r="LU7" i="41"/>
  <c r="LT7" i="41"/>
  <c r="LS7" i="41"/>
  <c r="LR7" i="41"/>
  <c r="LP7" i="41"/>
  <c r="LO7" i="41"/>
  <c r="LM7" i="41" s="1"/>
  <c r="LL7" i="41"/>
  <c r="LK7" i="41"/>
  <c r="LI7" i="41" s="1"/>
  <c r="LH7" i="41"/>
  <c r="KR7" i="41"/>
  <c r="KP7" i="41" s="1"/>
  <c r="KO7" i="41"/>
  <c r="KN7" i="41"/>
  <c r="KL7" i="41" s="1"/>
  <c r="KK7" i="41"/>
  <c r="KJ7" i="41"/>
  <c r="KI7" i="41"/>
  <c r="KH7" i="41"/>
  <c r="KF7" i="41" s="1"/>
  <c r="KE7" i="41"/>
  <c r="KC7" i="41" s="1"/>
  <c r="KB7" i="41"/>
  <c r="KA7" i="41"/>
  <c r="JY7" i="41" s="1"/>
  <c r="JX7" i="41"/>
  <c r="JH7" i="41"/>
  <c r="JF7" i="41" s="1"/>
  <c r="JE7" i="41"/>
  <c r="JD7" i="41"/>
  <c r="JB7" i="41" s="1"/>
  <c r="JA7" i="41"/>
  <c r="IZ7" i="41"/>
  <c r="IY7" i="41"/>
  <c r="IX7" i="41"/>
  <c r="IV7" i="41" s="1"/>
  <c r="IU7" i="41"/>
  <c r="IS7" i="41" s="1"/>
  <c r="IR7" i="41"/>
  <c r="IQ7" i="41"/>
  <c r="IO7" i="41" s="1"/>
  <c r="IN7" i="41"/>
  <c r="HX7" i="41"/>
  <c r="HV7" i="41" s="1"/>
  <c r="HU7" i="41"/>
  <c r="HT7" i="41"/>
  <c r="HR7" i="41" s="1"/>
  <c r="HQ7" i="41"/>
  <c r="HP7" i="41"/>
  <c r="HO7" i="41"/>
  <c r="HN7" i="41"/>
  <c r="HK7" i="41"/>
  <c r="HI7" i="41" s="1"/>
  <c r="HH7" i="41"/>
  <c r="HG7" i="41"/>
  <c r="HD7" i="41"/>
  <c r="GN7" i="41"/>
  <c r="GL7" i="41" s="1"/>
  <c r="GK7" i="41"/>
  <c r="GJ7" i="41"/>
  <c r="GG7" i="41"/>
  <c r="GF7" i="41"/>
  <c r="GE7" i="41"/>
  <c r="GD7" i="41"/>
  <c r="GA7" i="41"/>
  <c r="FY7" i="41" s="1"/>
  <c r="FX7" i="41"/>
  <c r="FW7" i="41"/>
  <c r="FT7" i="41"/>
  <c r="FD7" i="41"/>
  <c r="FB7" i="41" s="1"/>
  <c r="FA7" i="41"/>
  <c r="EZ7" i="41"/>
  <c r="EW7" i="41"/>
  <c r="EV7" i="41"/>
  <c r="EU7" i="41"/>
  <c r="ET7" i="41"/>
  <c r="EQ7" i="41"/>
  <c r="EO7" i="41" s="1"/>
  <c r="EN7" i="41"/>
  <c r="EM7" i="41"/>
  <c r="EJ7" i="41"/>
  <c r="DT7" i="41"/>
  <c r="DR7" i="41" s="1"/>
  <c r="DQ7" i="41"/>
  <c r="DP7" i="41"/>
  <c r="DM7" i="41"/>
  <c r="DL7" i="41"/>
  <c r="DK7" i="41"/>
  <c r="DJ7" i="41"/>
  <c r="DG7" i="41"/>
  <c r="DE7" i="41" s="1"/>
  <c r="DD7" i="41"/>
  <c r="DC7" i="41"/>
  <c r="DA7" i="41" s="1"/>
  <c r="CZ7" i="41"/>
  <c r="CJ7" i="41"/>
  <c r="CH7" i="41" s="1"/>
  <c r="CG7" i="41"/>
  <c r="CF7" i="41"/>
  <c r="CD7" i="41" s="1"/>
  <c r="CC7" i="41"/>
  <c r="CB7" i="41"/>
  <c r="CA7" i="41"/>
  <c r="BZ7" i="41"/>
  <c r="BW7" i="41"/>
  <c r="BU7" i="41" s="1"/>
  <c r="BT7" i="41"/>
  <c r="BS7" i="41"/>
  <c r="BP7" i="41"/>
  <c r="AW7" i="41"/>
  <c r="AU7" i="41" s="1"/>
  <c r="AT7" i="41"/>
  <c r="AS7" i="41"/>
  <c r="AP7" i="41"/>
  <c r="AO7" i="41"/>
  <c r="AN7" i="41"/>
  <c r="AM7" i="41"/>
  <c r="AJ7" i="41"/>
  <c r="AH7" i="41" s="1"/>
  <c r="AG7" i="41"/>
  <c r="AF7" i="41"/>
  <c r="AC7" i="41"/>
  <c r="H7" i="41"/>
  <c r="MB5" i="41"/>
  <c r="LZ5" i="41" s="1"/>
  <c r="LY5" i="41"/>
  <c r="LX5" i="41"/>
  <c r="LV5" i="41" s="1"/>
  <c r="LU5" i="41"/>
  <c r="LT5" i="41"/>
  <c r="LS5" i="41"/>
  <c r="LR5" i="41"/>
  <c r="LP5" i="41"/>
  <c r="LO5" i="41"/>
  <c r="LM5" i="41" s="1"/>
  <c r="LL5" i="41"/>
  <c r="LK5" i="41"/>
  <c r="LI5" i="41" s="1"/>
  <c r="LH5" i="41"/>
  <c r="KR5" i="41"/>
  <c r="KP5" i="41" s="1"/>
  <c r="KO5" i="41"/>
  <c r="KN5" i="41"/>
  <c r="KL5" i="41" s="1"/>
  <c r="KK5" i="41"/>
  <c r="KJ5" i="41"/>
  <c r="KI5" i="41"/>
  <c r="KH5" i="41"/>
  <c r="KF5" i="41"/>
  <c r="KE5" i="41"/>
  <c r="KC5" i="41" s="1"/>
  <c r="KB5" i="41"/>
  <c r="KA5" i="41"/>
  <c r="JY5" i="41" s="1"/>
  <c r="JX5" i="41"/>
  <c r="JH5" i="41"/>
  <c r="JF5" i="41" s="1"/>
  <c r="JE5" i="41"/>
  <c r="JD5" i="41"/>
  <c r="JB5" i="41" s="1"/>
  <c r="JA5" i="41"/>
  <c r="IZ5" i="41"/>
  <c r="IY5" i="41"/>
  <c r="IX5" i="41"/>
  <c r="IV5" i="41"/>
  <c r="IU5" i="41"/>
  <c r="IS5" i="41" s="1"/>
  <c r="IR5" i="41"/>
  <c r="IQ5" i="41"/>
  <c r="IO5" i="41" s="1"/>
  <c r="IN5" i="41"/>
  <c r="HX5" i="41"/>
  <c r="HV5" i="41" s="1"/>
  <c r="HU5" i="41"/>
  <c r="HT5" i="41"/>
  <c r="HR5" i="41" s="1"/>
  <c r="HQ5" i="41"/>
  <c r="HP5" i="41"/>
  <c r="HO5" i="41"/>
  <c r="HN5" i="41"/>
  <c r="HL5" i="41"/>
  <c r="HK5" i="41"/>
  <c r="HI5" i="41" s="1"/>
  <c r="HH5" i="41"/>
  <c r="HG5" i="41"/>
  <c r="HE5" i="41" s="1"/>
  <c r="HD5" i="41"/>
  <c r="GN5" i="41"/>
  <c r="GL5" i="41" s="1"/>
  <c r="GK5" i="41"/>
  <c r="GJ5" i="41"/>
  <c r="GH5" i="41" s="1"/>
  <c r="GG5" i="41"/>
  <c r="GF5" i="41"/>
  <c r="GE5" i="41"/>
  <c r="GD5" i="41"/>
  <c r="GB5" i="41"/>
  <c r="GA5" i="41"/>
  <c r="FY5" i="41" s="1"/>
  <c r="FX5" i="41"/>
  <c r="FW5" i="41"/>
  <c r="FU5" i="41" s="1"/>
  <c r="FT5" i="41"/>
  <c r="FD5" i="41"/>
  <c r="FB5" i="41" s="1"/>
  <c r="FA5" i="41"/>
  <c r="EZ5" i="41"/>
  <c r="EX5" i="41" s="1"/>
  <c r="EW5" i="41"/>
  <c r="ER5" i="41" s="1"/>
  <c r="EV5" i="41"/>
  <c r="EU5" i="41"/>
  <c r="ET5" i="41"/>
  <c r="EQ5" i="41"/>
  <c r="EO5" i="41" s="1"/>
  <c r="EN5" i="41"/>
  <c r="EM5" i="41"/>
  <c r="EK5" i="41" s="1"/>
  <c r="EJ5" i="41"/>
  <c r="DT5" i="41"/>
  <c r="DR5" i="41" s="1"/>
  <c r="DQ5" i="41"/>
  <c r="DP5" i="41"/>
  <c r="DN5" i="41" s="1"/>
  <c r="DM5" i="41"/>
  <c r="DL5" i="41"/>
  <c r="DK5" i="41"/>
  <c r="DJ5" i="41"/>
  <c r="DH5" i="41"/>
  <c r="DG5" i="41"/>
  <c r="DE5" i="41" s="1"/>
  <c r="DD5" i="41"/>
  <c r="DC5" i="41"/>
  <c r="DA5" i="41" s="1"/>
  <c r="CZ5" i="41"/>
  <c r="CJ5" i="41"/>
  <c r="CH5" i="41" s="1"/>
  <c r="CG5" i="41"/>
  <c r="CF5" i="41"/>
  <c r="CD5" i="41" s="1"/>
  <c r="CC5" i="41"/>
  <c r="CB5" i="41"/>
  <c r="CA5" i="41"/>
  <c r="BZ5" i="41"/>
  <c r="BX5" i="41"/>
  <c r="BW5" i="41"/>
  <c r="BU5" i="41" s="1"/>
  <c r="BT5" i="41"/>
  <c r="BS5" i="41"/>
  <c r="BQ5" i="41" s="1"/>
  <c r="BP5" i="41"/>
  <c r="AW5" i="41"/>
  <c r="AU5" i="41" s="1"/>
  <c r="AT5" i="41"/>
  <c r="AS5" i="41"/>
  <c r="AQ5" i="41" s="1"/>
  <c r="AP5" i="41"/>
  <c r="AK5" i="41" s="1"/>
  <c r="AO5" i="41"/>
  <c r="AN5" i="41"/>
  <c r="AM5" i="41"/>
  <c r="AJ5" i="41"/>
  <c r="AH5" i="41" s="1"/>
  <c r="AG5" i="41"/>
  <c r="AD5" i="41" s="1"/>
  <c r="AF5" i="41"/>
  <c r="AC5" i="41"/>
  <c r="H5" i="41"/>
  <c r="AD7" i="41" l="1"/>
  <c r="JW6" i="41"/>
  <c r="EI6" i="41"/>
  <c r="AB6" i="41"/>
  <c r="DH7" i="41"/>
  <c r="DN7" i="41"/>
  <c r="EK7" i="41"/>
  <c r="IM6" i="41"/>
  <c r="GB7" i="41"/>
  <c r="GH7" i="41"/>
  <c r="HE7" i="41"/>
  <c r="AK7" i="41"/>
  <c r="HL7" i="41"/>
  <c r="ER7" i="41"/>
  <c r="EX7" i="41"/>
  <c r="FU7" i="41"/>
  <c r="AQ7" i="41"/>
  <c r="BQ7" i="41"/>
  <c r="S6" i="41"/>
  <c r="N6" i="41"/>
  <c r="JR6" i="41" s="1"/>
  <c r="BX7" i="41"/>
  <c r="Z6" i="41"/>
  <c r="LE6" i="41"/>
  <c r="JU6" i="41"/>
  <c r="JS6" i="41" s="1"/>
  <c r="IK6" i="41"/>
  <c r="HA6" i="41"/>
  <c r="FQ6" i="41"/>
  <c r="EG6" i="41"/>
  <c r="CW6" i="41"/>
  <c r="BM6" i="41"/>
  <c r="Q6" i="41"/>
  <c r="LF6" i="41"/>
  <c r="JV6" i="41"/>
  <c r="IL6" i="41"/>
  <c r="IH6" i="41"/>
  <c r="HB6" i="41"/>
  <c r="FR6" i="41"/>
  <c r="EH6" i="41"/>
  <c r="CX6" i="41"/>
  <c r="BN6" i="41"/>
  <c r="W6" i="41"/>
  <c r="AA6" i="41"/>
  <c r="LG6" i="41"/>
  <c r="R7" i="41"/>
  <c r="G7" i="41"/>
  <c r="BA7" i="41"/>
  <c r="L7" i="41" s="1"/>
  <c r="LG7" i="41" s="1"/>
  <c r="BA5" i="41"/>
  <c r="L5" i="41" s="1"/>
  <c r="EI5" i="41" s="1"/>
  <c r="R5" i="41"/>
  <c r="G5" i="41"/>
  <c r="MB4" i="41"/>
  <c r="LZ4" i="41" s="1"/>
  <c r="LY4" i="41"/>
  <c r="LX4" i="41"/>
  <c r="LV4" i="41" s="1"/>
  <c r="LU4" i="41"/>
  <c r="LT4" i="41"/>
  <c r="LS4" i="41"/>
  <c r="LR4" i="41"/>
  <c r="LP4" i="41" s="1"/>
  <c r="LO4" i="41"/>
  <c r="LM4" i="41" s="1"/>
  <c r="LL4" i="41"/>
  <c r="LK4" i="41"/>
  <c r="LI4" i="41" s="1"/>
  <c r="LH4" i="41"/>
  <c r="LF4" i="41"/>
  <c r="KR4" i="41"/>
  <c r="KP4" i="41" s="1"/>
  <c r="KO4" i="41"/>
  <c r="KN4" i="41"/>
  <c r="KL4" i="41" s="1"/>
  <c r="KK4" i="41"/>
  <c r="KJ4" i="41"/>
  <c r="KI4" i="41"/>
  <c r="KH4" i="41"/>
  <c r="KF4" i="41"/>
  <c r="KE4" i="41"/>
  <c r="KC4" i="41" s="1"/>
  <c r="KB4" i="41"/>
  <c r="KA4" i="41"/>
  <c r="JY4" i="41" s="1"/>
  <c r="JX4" i="41"/>
  <c r="JV4" i="41"/>
  <c r="JH4" i="41"/>
  <c r="JF4" i="41" s="1"/>
  <c r="JE4" i="41"/>
  <c r="JD4" i="41"/>
  <c r="JB4" i="41" s="1"/>
  <c r="JA4" i="41"/>
  <c r="IZ4" i="41"/>
  <c r="IY4" i="41"/>
  <c r="IX4" i="41"/>
  <c r="IV4" i="41" s="1"/>
  <c r="IU4" i="41"/>
  <c r="IS4" i="41" s="1"/>
  <c r="IR4" i="41"/>
  <c r="IQ4" i="41"/>
  <c r="IO4" i="41" s="1"/>
  <c r="IN4" i="41"/>
  <c r="IL4" i="41"/>
  <c r="HX4" i="41"/>
  <c r="HV4" i="41" s="1"/>
  <c r="HU4" i="41"/>
  <c r="HT4" i="41"/>
  <c r="HQ4" i="41"/>
  <c r="HP4" i="41"/>
  <c r="HO4" i="41"/>
  <c r="HN4" i="41"/>
  <c r="HK4" i="41"/>
  <c r="HI4" i="41" s="1"/>
  <c r="HH4" i="41"/>
  <c r="HG4" i="41"/>
  <c r="HE4" i="41" s="1"/>
  <c r="HD4" i="41"/>
  <c r="HB4" i="41"/>
  <c r="GN4" i="41"/>
  <c r="GL4" i="41" s="1"/>
  <c r="GK4" i="41"/>
  <c r="GJ4" i="41"/>
  <c r="GG4" i="41"/>
  <c r="GF4" i="41"/>
  <c r="GE4" i="41"/>
  <c r="GD4" i="41"/>
  <c r="GA4" i="41"/>
  <c r="FY4" i="41" s="1"/>
  <c r="FX4" i="41"/>
  <c r="FW4" i="41"/>
  <c r="FU4" i="41" s="1"/>
  <c r="FT4" i="41"/>
  <c r="FR4" i="41"/>
  <c r="FD4" i="41"/>
  <c r="FB4" i="41" s="1"/>
  <c r="FA4" i="41"/>
  <c r="EZ4" i="41"/>
  <c r="EW4" i="41"/>
  <c r="EV4" i="41"/>
  <c r="EU4" i="41"/>
  <c r="ET4" i="41"/>
  <c r="EQ4" i="41"/>
  <c r="EO4" i="41" s="1"/>
  <c r="EN4" i="41"/>
  <c r="EM4" i="41"/>
  <c r="EK4" i="41" s="1"/>
  <c r="EJ4" i="41"/>
  <c r="EH4" i="41"/>
  <c r="DT4" i="41"/>
  <c r="DR4" i="41" s="1"/>
  <c r="DQ4" i="41"/>
  <c r="DP4" i="41"/>
  <c r="DM4" i="41"/>
  <c r="DL4" i="41"/>
  <c r="DK4" i="41"/>
  <c r="DJ4" i="41"/>
  <c r="DG4" i="41"/>
  <c r="DE4" i="41" s="1"/>
  <c r="DD4" i="41"/>
  <c r="DC4" i="41"/>
  <c r="DA4" i="41" s="1"/>
  <c r="CZ4" i="41"/>
  <c r="CX4" i="41"/>
  <c r="CJ4" i="41"/>
  <c r="CH4" i="41" s="1"/>
  <c r="CG4" i="41"/>
  <c r="CF4" i="41"/>
  <c r="CC4" i="41"/>
  <c r="CB4" i="41"/>
  <c r="CA4" i="41"/>
  <c r="BZ4" i="41"/>
  <c r="BW4" i="41"/>
  <c r="BU4" i="41" s="1"/>
  <c r="BT4" i="41"/>
  <c r="BS4" i="41"/>
  <c r="BQ4" i="41" s="1"/>
  <c r="BP4" i="41"/>
  <c r="BN4" i="41"/>
  <c r="AW4" i="41"/>
  <c r="AU4" i="41" s="1"/>
  <c r="AT4" i="41"/>
  <c r="AS4" i="41"/>
  <c r="AP4" i="41"/>
  <c r="AO4" i="41"/>
  <c r="AN4" i="41"/>
  <c r="AM4" i="41"/>
  <c r="AJ4" i="41"/>
  <c r="AH4" i="41" s="1"/>
  <c r="AG4" i="41"/>
  <c r="AF4" i="41"/>
  <c r="AC4" i="41"/>
  <c r="AA4" i="41"/>
  <c r="N4" i="41"/>
  <c r="LB4" i="41" s="1"/>
  <c r="M4" i="41"/>
  <c r="H4" i="41"/>
  <c r="FN6" i="41" l="1"/>
  <c r="CT6" i="41"/>
  <c r="EE6" i="41"/>
  <c r="AD4" i="41"/>
  <c r="LB6" i="41"/>
  <c r="BJ6" i="41"/>
  <c r="ED6" i="41"/>
  <c r="FE6" i="41" s="1"/>
  <c r="GX6" i="41"/>
  <c r="HM6" i="41" s="1"/>
  <c r="AB5" i="41"/>
  <c r="FC6" i="41"/>
  <c r="EL6" i="41"/>
  <c r="KS6" i="41"/>
  <c r="KQ6" i="41"/>
  <c r="KD6" i="41"/>
  <c r="JZ6" i="41"/>
  <c r="KG6" i="41"/>
  <c r="KM6" i="41"/>
  <c r="JT6" i="41"/>
  <c r="JO6" i="41"/>
  <c r="AQ4" i="41"/>
  <c r="CD4" i="41"/>
  <c r="DN4" i="41"/>
  <c r="EX4" i="41"/>
  <c r="GH4" i="41"/>
  <c r="HR4" i="41"/>
  <c r="FO6" i="41"/>
  <c r="GO6" i="41" s="1"/>
  <c r="LC6" i="41"/>
  <c r="MC6" i="41" s="1"/>
  <c r="CI6" i="41"/>
  <c r="BR6" i="41"/>
  <c r="BY6" i="41"/>
  <c r="BV6" i="41"/>
  <c r="CE6" i="41"/>
  <c r="HJ6" i="41"/>
  <c r="EA6" i="41"/>
  <c r="EF6" i="41"/>
  <c r="BX4" i="41"/>
  <c r="DH4" i="41"/>
  <c r="ER4" i="41"/>
  <c r="GB4" i="41"/>
  <c r="HL4" i="41"/>
  <c r="DF6" i="41"/>
  <c r="DO6" i="41"/>
  <c r="DI6" i="41"/>
  <c r="DB6" i="41"/>
  <c r="DS6" i="41"/>
  <c r="GC6" i="41"/>
  <c r="FV6" i="41"/>
  <c r="FZ6" i="41"/>
  <c r="GM6" i="41"/>
  <c r="GI6" i="41"/>
  <c r="IT6" i="41"/>
  <c r="IP6" i="41"/>
  <c r="JG6" i="41"/>
  <c r="JC6" i="41"/>
  <c r="IW6" i="41"/>
  <c r="LN6" i="41"/>
  <c r="MA6" i="41"/>
  <c r="LW6" i="41"/>
  <c r="LQ6" i="41"/>
  <c r="LJ6" i="41"/>
  <c r="BK6" i="41"/>
  <c r="CK6" i="41" s="1"/>
  <c r="GY6" i="41"/>
  <c r="X6" i="41"/>
  <c r="AX6" i="41" s="1"/>
  <c r="AK4" i="41"/>
  <c r="AV6" i="41"/>
  <c r="AR6" i="41"/>
  <c r="AI6" i="41"/>
  <c r="AE6" i="41"/>
  <c r="AL6" i="41"/>
  <c r="CU6" i="41"/>
  <c r="II6" i="41"/>
  <c r="JI6" i="41" s="1"/>
  <c r="JW5" i="41"/>
  <c r="HC7" i="41"/>
  <c r="CY7" i="41"/>
  <c r="FS7" i="41"/>
  <c r="IM7" i="41"/>
  <c r="BO7" i="41"/>
  <c r="Q5" i="41"/>
  <c r="S7" i="41"/>
  <c r="N7" i="41"/>
  <c r="JR7" i="41" s="1"/>
  <c r="Z7" i="41"/>
  <c r="LE7" i="41"/>
  <c r="JU7" i="41"/>
  <c r="IK7" i="41"/>
  <c r="HA7" i="41"/>
  <c r="FQ7" i="41"/>
  <c r="EG7" i="41"/>
  <c r="CW7" i="41"/>
  <c r="BM7" i="41"/>
  <c r="Q7" i="41"/>
  <c r="LF7" i="41"/>
  <c r="LB7" i="41"/>
  <c r="JV7" i="41"/>
  <c r="IL7" i="41"/>
  <c r="HB7" i="41"/>
  <c r="FR7" i="41"/>
  <c r="EH7" i="41"/>
  <c r="CX7" i="41"/>
  <c r="BN7" i="41"/>
  <c r="AA7" i="41"/>
  <c r="JW7" i="41"/>
  <c r="EI7" i="41"/>
  <c r="AB7" i="41"/>
  <c r="LF5" i="41"/>
  <c r="JV5" i="41"/>
  <c r="IL5" i="41"/>
  <c r="HB5" i="41"/>
  <c r="FR5" i="41"/>
  <c r="EH5" i="41"/>
  <c r="CX5" i="41"/>
  <c r="BN5" i="41"/>
  <c r="AA5" i="41"/>
  <c r="FS5" i="41"/>
  <c r="LG5" i="41"/>
  <c r="S5" i="41"/>
  <c r="N5" i="41"/>
  <c r="ED5" i="41" s="1"/>
  <c r="BO5" i="41"/>
  <c r="HC5" i="41"/>
  <c r="Z5" i="41"/>
  <c r="LE5" i="41"/>
  <c r="JU5" i="41"/>
  <c r="JS5" i="41" s="1"/>
  <c r="IK5" i="41"/>
  <c r="HA5" i="41"/>
  <c r="FQ5" i="41"/>
  <c r="EG5" i="41"/>
  <c r="CW5" i="41"/>
  <c r="BM5" i="41"/>
  <c r="CY5" i="41"/>
  <c r="IM5" i="41"/>
  <c r="BO4" i="41"/>
  <c r="FS4" i="41"/>
  <c r="HC4" i="41"/>
  <c r="LJ4" i="41"/>
  <c r="LW4" i="41"/>
  <c r="AB4" i="41"/>
  <c r="S4" i="41"/>
  <c r="R4" i="41"/>
  <c r="Q4" i="41"/>
  <c r="LG4" i="41"/>
  <c r="JW4" i="41"/>
  <c r="IM4" i="41"/>
  <c r="BA4" i="41"/>
  <c r="CY4" i="41"/>
  <c r="LQ4" i="41"/>
  <c r="EI4" i="41"/>
  <c r="LN4" i="41"/>
  <c r="MA4" i="41"/>
  <c r="W4" i="41"/>
  <c r="BJ4" i="41"/>
  <c r="CT4" i="41"/>
  <c r="DF4" i="41" s="1"/>
  <c r="ED4" i="41"/>
  <c r="ES4" i="41" s="1"/>
  <c r="FN4" i="41"/>
  <c r="FZ4" i="41" s="1"/>
  <c r="GX4" i="41"/>
  <c r="IH4" i="41"/>
  <c r="JC4" i="41" s="1"/>
  <c r="JR4" i="41"/>
  <c r="JZ4" i="41" s="1"/>
  <c r="MB3" i="41"/>
  <c r="LZ3" i="41" s="1"/>
  <c r="LY3" i="41"/>
  <c r="LX3" i="41"/>
  <c r="LV3" i="41" s="1"/>
  <c r="LU3" i="41"/>
  <c r="LT3" i="41"/>
  <c r="LS3" i="41"/>
  <c r="LR3" i="41"/>
  <c r="LP3" i="41" s="1"/>
  <c r="LO3" i="41"/>
  <c r="LM3" i="41" s="1"/>
  <c r="LL3" i="41"/>
  <c r="LK3" i="41"/>
  <c r="LI3" i="41" s="1"/>
  <c r="LH3" i="41"/>
  <c r="KR3" i="41"/>
  <c r="KP3" i="41" s="1"/>
  <c r="KO3" i="41"/>
  <c r="KN3" i="41"/>
  <c r="KL3" i="41"/>
  <c r="KK3" i="41"/>
  <c r="KJ3" i="41"/>
  <c r="KI3" i="41"/>
  <c r="KH3" i="41"/>
  <c r="KF3" i="41" s="1"/>
  <c r="KE3" i="41"/>
  <c r="KC3" i="41" s="1"/>
  <c r="KB3" i="41"/>
  <c r="KA3" i="41"/>
  <c r="JY3" i="41" s="1"/>
  <c r="JX3" i="41"/>
  <c r="JH3" i="41"/>
  <c r="JF3" i="41" s="1"/>
  <c r="JE3" i="41"/>
  <c r="JD3" i="41"/>
  <c r="JB3" i="41" s="1"/>
  <c r="JA3" i="41"/>
  <c r="IZ3" i="41"/>
  <c r="IY3" i="41"/>
  <c r="IX3" i="41"/>
  <c r="IV3" i="41" s="1"/>
  <c r="IU3" i="41"/>
  <c r="IS3" i="41" s="1"/>
  <c r="IR3" i="41"/>
  <c r="IQ3" i="41"/>
  <c r="IO3" i="41"/>
  <c r="IN3" i="41"/>
  <c r="HX3" i="41"/>
  <c r="HV3" i="41" s="1"/>
  <c r="HU3" i="41"/>
  <c r="HT3" i="41"/>
  <c r="HQ3" i="41"/>
  <c r="HP3" i="41"/>
  <c r="HO3" i="41"/>
  <c r="HN3" i="41"/>
  <c r="HK3" i="41"/>
  <c r="HI3" i="41" s="1"/>
  <c r="HH3" i="41"/>
  <c r="HG3" i="41"/>
  <c r="HD3" i="41"/>
  <c r="GN3" i="41"/>
  <c r="GL3" i="41" s="1"/>
  <c r="GK3" i="41"/>
  <c r="GJ3" i="41"/>
  <c r="GG3" i="41"/>
  <c r="GF3" i="41"/>
  <c r="GE3" i="41"/>
  <c r="GD3" i="41"/>
  <c r="GA3" i="41"/>
  <c r="FY3" i="41" s="1"/>
  <c r="FX3" i="41"/>
  <c r="FW3" i="41"/>
  <c r="FT3" i="41"/>
  <c r="FD3" i="41"/>
  <c r="FB3" i="41" s="1"/>
  <c r="FA3" i="41"/>
  <c r="EZ3" i="41"/>
  <c r="EW3" i="41"/>
  <c r="EV3" i="41"/>
  <c r="EU3" i="41"/>
  <c r="ET3" i="41"/>
  <c r="EQ3" i="41"/>
  <c r="EO3" i="41" s="1"/>
  <c r="EN3" i="41"/>
  <c r="EM3" i="41"/>
  <c r="EK3" i="41" s="1"/>
  <c r="EJ3" i="41"/>
  <c r="DT3" i="41"/>
  <c r="DR3" i="41" s="1"/>
  <c r="DQ3" i="41"/>
  <c r="DP3" i="41"/>
  <c r="DM3" i="41"/>
  <c r="DL3" i="41"/>
  <c r="DK3" i="41"/>
  <c r="DJ3" i="41"/>
  <c r="DG3" i="41"/>
  <c r="DE3" i="41" s="1"/>
  <c r="DD3" i="41"/>
  <c r="DC3" i="41"/>
  <c r="CZ3" i="41"/>
  <c r="CJ3" i="41"/>
  <c r="CH3" i="41" s="1"/>
  <c r="CG3" i="41"/>
  <c r="CF3" i="41"/>
  <c r="CC3" i="41"/>
  <c r="CB3" i="41"/>
  <c r="CA3" i="41"/>
  <c r="BZ3" i="41"/>
  <c r="BW3" i="41"/>
  <c r="BU3" i="41"/>
  <c r="BT3" i="41"/>
  <c r="BS3" i="41"/>
  <c r="BP3" i="41"/>
  <c r="AW3" i="41"/>
  <c r="AU3" i="41" s="1"/>
  <c r="AT3" i="41"/>
  <c r="AS3" i="41"/>
  <c r="AP3" i="41"/>
  <c r="AO3" i="41"/>
  <c r="AN3" i="41"/>
  <c r="AM3" i="41"/>
  <c r="AJ3" i="41"/>
  <c r="AH3" i="41" s="1"/>
  <c r="AG3" i="41"/>
  <c r="AF3" i="41"/>
  <c r="AC3" i="41"/>
  <c r="AA3" i="41"/>
  <c r="N3" i="41"/>
  <c r="M3" i="41"/>
  <c r="LF3" i="41"/>
  <c r="H3" i="41"/>
  <c r="FU3" i="41" l="1"/>
  <c r="HR3" i="41"/>
  <c r="HW6" i="41"/>
  <c r="AQ3" i="41"/>
  <c r="BQ3" i="41"/>
  <c r="DA3" i="41"/>
  <c r="BY4" i="41"/>
  <c r="EP6" i="41"/>
  <c r="AD3" i="41"/>
  <c r="HF6" i="41"/>
  <c r="ES6" i="41"/>
  <c r="ER3" i="41"/>
  <c r="FN7" i="41"/>
  <c r="HS6" i="41"/>
  <c r="IH7" i="41"/>
  <c r="IT7" i="41" s="1"/>
  <c r="AK3" i="41"/>
  <c r="DN3" i="41"/>
  <c r="EX3" i="41"/>
  <c r="HE3" i="41"/>
  <c r="CT7" i="41"/>
  <c r="DI7" i="41" s="1"/>
  <c r="EY6" i="41"/>
  <c r="W7" i="41"/>
  <c r="BJ7" i="41"/>
  <c r="BR7" i="41" s="1"/>
  <c r="ED7" i="41"/>
  <c r="FC7" i="41" s="1"/>
  <c r="GX7" i="41"/>
  <c r="HF7" i="41" s="1"/>
  <c r="CL6" i="41"/>
  <c r="CM6" i="41" s="1"/>
  <c r="BH6" i="41"/>
  <c r="JJ6" i="41"/>
  <c r="JK6" i="41" s="1"/>
  <c r="IF6" i="41"/>
  <c r="AY6" i="41"/>
  <c r="AZ6" i="41" s="1"/>
  <c r="U6" i="41"/>
  <c r="CV6" i="41"/>
  <c r="CQ6" i="41"/>
  <c r="GP6" i="41"/>
  <c r="GQ6" i="41" s="1"/>
  <c r="FL6" i="41"/>
  <c r="GB3" i="41"/>
  <c r="GZ6" i="41"/>
  <c r="GU6" i="41"/>
  <c r="KT6" i="41"/>
  <c r="KU6" i="41" s="1"/>
  <c r="JP6" i="41"/>
  <c r="BX3" i="41"/>
  <c r="GH3" i="41"/>
  <c r="HS4" i="41"/>
  <c r="BG6" i="41"/>
  <c r="BL6" i="41"/>
  <c r="DU6" i="41"/>
  <c r="LD6" i="41"/>
  <c r="KY6" i="41"/>
  <c r="Y6" i="41"/>
  <c r="O6" i="41"/>
  <c r="CD3" i="41"/>
  <c r="DH3" i="41"/>
  <c r="HL3" i="41"/>
  <c r="IJ6" i="41"/>
  <c r="IE6" i="41"/>
  <c r="MD6" i="41"/>
  <c r="ME6" i="41" s="1"/>
  <c r="KZ6" i="41"/>
  <c r="HY6" i="41"/>
  <c r="FK6" i="41"/>
  <c r="FP6" i="41"/>
  <c r="FF6" i="41"/>
  <c r="FG6" i="41" s="1"/>
  <c r="EB6" i="41"/>
  <c r="FO7" i="41"/>
  <c r="GO7" i="41" s="1"/>
  <c r="LC7" i="41"/>
  <c r="KY7" i="41" s="1"/>
  <c r="FO5" i="41"/>
  <c r="FK5" i="41" s="1"/>
  <c r="BJ5" i="41"/>
  <c r="BY5" i="41" s="1"/>
  <c r="CU5" i="41"/>
  <c r="CQ5" i="41" s="1"/>
  <c r="BK7" i="41"/>
  <c r="CK7" i="41" s="1"/>
  <c r="GY7" i="41"/>
  <c r="X7" i="41"/>
  <c r="AX7" i="41" s="1"/>
  <c r="GI7" i="41"/>
  <c r="GC7" i="41"/>
  <c r="FZ7" i="41"/>
  <c r="GM7" i="41"/>
  <c r="FV7" i="41"/>
  <c r="JC7" i="41"/>
  <c r="IW7" i="41"/>
  <c r="JG7" i="41"/>
  <c r="LJ7" i="41"/>
  <c r="MA7" i="41"/>
  <c r="LW7" i="41"/>
  <c r="LN7" i="41"/>
  <c r="LQ7" i="41"/>
  <c r="CU7" i="41"/>
  <c r="II7" i="41"/>
  <c r="CI7" i="41"/>
  <c r="BV7" i="41"/>
  <c r="BY7" i="41"/>
  <c r="HJ7" i="41"/>
  <c r="KQ7" i="41"/>
  <c r="JZ7" i="41"/>
  <c r="KG7" i="41"/>
  <c r="KD7" i="41"/>
  <c r="KM7" i="41"/>
  <c r="AL7" i="41"/>
  <c r="AE7" i="41"/>
  <c r="AV7" i="41"/>
  <c r="AR7" i="41"/>
  <c r="AI7" i="41"/>
  <c r="EE7" i="41"/>
  <c r="JS7" i="41"/>
  <c r="BK5" i="41"/>
  <c r="CK5" i="41" s="1"/>
  <c r="X5" i="41"/>
  <c r="II5" i="41"/>
  <c r="JR5" i="41"/>
  <c r="KS5" i="41" s="1"/>
  <c r="EE5" i="41"/>
  <c r="EF5" i="41" s="1"/>
  <c r="GX5" i="41"/>
  <c r="HJ5" i="41" s="1"/>
  <c r="JO5" i="41"/>
  <c r="KD5" i="41"/>
  <c r="KG5" i="41"/>
  <c r="LC5" i="41"/>
  <c r="W5" i="41"/>
  <c r="CT5" i="41"/>
  <c r="FN5" i="41"/>
  <c r="IH5" i="41"/>
  <c r="LB5" i="41"/>
  <c r="CI5" i="41"/>
  <c r="CE5" i="41"/>
  <c r="FC5" i="41"/>
  <c r="EL5" i="41"/>
  <c r="EP5" i="41"/>
  <c r="ES5" i="41"/>
  <c r="EY5" i="41"/>
  <c r="GY5" i="41"/>
  <c r="DO4" i="41"/>
  <c r="DS4" i="41"/>
  <c r="IP4" i="41"/>
  <c r="EP4" i="41"/>
  <c r="KQ4" i="41"/>
  <c r="JG4" i="41"/>
  <c r="KM4" i="41"/>
  <c r="EY4" i="41"/>
  <c r="AE4" i="41"/>
  <c r="KD4" i="41"/>
  <c r="HM4" i="41"/>
  <c r="IT4" i="41"/>
  <c r="IW4" i="41"/>
  <c r="EL4" i="41"/>
  <c r="AL4" i="41"/>
  <c r="GM4" i="41"/>
  <c r="GI4" i="41"/>
  <c r="AR4" i="41"/>
  <c r="FV4" i="41"/>
  <c r="LE4" i="41"/>
  <c r="LC4" i="41" s="1"/>
  <c r="JU4" i="41"/>
  <c r="JS4" i="41" s="1"/>
  <c r="KS4" i="41" s="1"/>
  <c r="IK4" i="41"/>
  <c r="II4" i="41" s="1"/>
  <c r="HA4" i="41"/>
  <c r="GY4" i="41" s="1"/>
  <c r="HY4" i="41" s="1"/>
  <c r="FQ4" i="41"/>
  <c r="FO4" i="41" s="1"/>
  <c r="EG4" i="41"/>
  <c r="EE4" i="41" s="1"/>
  <c r="FE4" i="41" s="1"/>
  <c r="CW4" i="41"/>
  <c r="CU4" i="41" s="1"/>
  <c r="DU4" i="41" s="1"/>
  <c r="BM4" i="41"/>
  <c r="BK4" i="41" s="1"/>
  <c r="CK4" i="41" s="1"/>
  <c r="Z4" i="41"/>
  <c r="X4" i="41" s="1"/>
  <c r="AI4" i="41"/>
  <c r="AV4" i="41"/>
  <c r="HW4" i="41"/>
  <c r="CI4" i="41"/>
  <c r="KG4" i="41"/>
  <c r="HF4" i="41"/>
  <c r="BR4" i="41"/>
  <c r="HJ4" i="41"/>
  <c r="DI4" i="41"/>
  <c r="GC4" i="41"/>
  <c r="BV4" i="41"/>
  <c r="DB4" i="41"/>
  <c r="FC4" i="41"/>
  <c r="CE4" i="41"/>
  <c r="LG3" i="41"/>
  <c r="R3" i="41"/>
  <c r="BM3" i="41" s="1"/>
  <c r="W3" i="41"/>
  <c r="AV3" i="41" s="1"/>
  <c r="Q3" i="41"/>
  <c r="BJ3" i="41"/>
  <c r="BN3" i="41"/>
  <c r="CT3" i="41"/>
  <c r="CX3" i="41"/>
  <c r="ED3" i="41"/>
  <c r="EH3" i="41"/>
  <c r="FN3" i="41"/>
  <c r="GI3" i="41" s="1"/>
  <c r="FR3" i="41"/>
  <c r="GX3" i="41"/>
  <c r="HB3" i="41"/>
  <c r="IH3" i="41"/>
  <c r="IT3" i="41" s="1"/>
  <c r="IL3" i="41"/>
  <c r="JR3" i="41"/>
  <c r="JV3" i="41"/>
  <c r="LB3" i="41"/>
  <c r="S3" i="41"/>
  <c r="AB3" i="41"/>
  <c r="BA3" i="41"/>
  <c r="BO3" i="41"/>
  <c r="CY3" i="41"/>
  <c r="EI3" i="41"/>
  <c r="FS3" i="41"/>
  <c r="HC3" i="41"/>
  <c r="IM3" i="41"/>
  <c r="JW3" i="41"/>
  <c r="MB2" i="41"/>
  <c r="LZ2" i="41" s="1"/>
  <c r="LY2" i="41"/>
  <c r="LX2" i="41"/>
  <c r="LV2" i="41" s="1"/>
  <c r="LU2" i="41"/>
  <c r="LT2" i="41"/>
  <c r="LS2" i="41"/>
  <c r="LR2" i="41"/>
  <c r="LP2" i="41" s="1"/>
  <c r="LO2" i="41"/>
  <c r="LM2" i="41" s="1"/>
  <c r="LL2" i="41"/>
  <c r="LK2" i="41"/>
  <c r="LI2" i="41" s="1"/>
  <c r="LH2" i="41"/>
  <c r="LF2" i="41"/>
  <c r="KR2" i="41"/>
  <c r="KP2" i="41" s="1"/>
  <c r="KO2" i="41"/>
  <c r="KN2" i="41"/>
  <c r="KL2" i="41" s="1"/>
  <c r="KK2" i="41"/>
  <c r="KJ2" i="41"/>
  <c r="KI2" i="41"/>
  <c r="KH2" i="41"/>
  <c r="KF2" i="41" s="1"/>
  <c r="KE2" i="41"/>
  <c r="KC2" i="41" s="1"/>
  <c r="KB2" i="41"/>
  <c r="KA2" i="41"/>
  <c r="JY2" i="41" s="1"/>
  <c r="JX2" i="41"/>
  <c r="JV2" i="41"/>
  <c r="JH2" i="41"/>
  <c r="JF2" i="41" s="1"/>
  <c r="JE2" i="41"/>
  <c r="JD2" i="41"/>
  <c r="JB2" i="41" s="1"/>
  <c r="JA2" i="41"/>
  <c r="IZ2" i="41"/>
  <c r="IY2" i="41"/>
  <c r="IX2" i="41"/>
  <c r="IV2" i="41" s="1"/>
  <c r="IU2" i="41"/>
  <c r="IS2" i="41" s="1"/>
  <c r="IR2" i="41"/>
  <c r="IQ2" i="41"/>
  <c r="IO2" i="41" s="1"/>
  <c r="IN2" i="41"/>
  <c r="IL2" i="41"/>
  <c r="HX2" i="41"/>
  <c r="HV2" i="41" s="1"/>
  <c r="HU2" i="41"/>
  <c r="HT2" i="41"/>
  <c r="HQ2" i="41"/>
  <c r="HP2" i="41"/>
  <c r="HO2" i="41"/>
  <c r="HN2" i="41"/>
  <c r="HK2" i="41"/>
  <c r="HI2" i="41" s="1"/>
  <c r="HH2" i="41"/>
  <c r="HG2" i="41"/>
  <c r="HD2" i="41"/>
  <c r="HB2" i="41"/>
  <c r="GN2" i="41"/>
  <c r="GL2" i="41" s="1"/>
  <c r="GK2" i="41"/>
  <c r="GJ2" i="41"/>
  <c r="GG2" i="41"/>
  <c r="GF2" i="41"/>
  <c r="GE2" i="41"/>
  <c r="GD2" i="41"/>
  <c r="GA2" i="41"/>
  <c r="FY2" i="41" s="1"/>
  <c r="FX2" i="41"/>
  <c r="FW2" i="41"/>
  <c r="FT2" i="41"/>
  <c r="FR2" i="41"/>
  <c r="FD2" i="41"/>
  <c r="FB2" i="41" s="1"/>
  <c r="FA2" i="41"/>
  <c r="EZ2" i="41"/>
  <c r="EW2" i="41"/>
  <c r="EV2" i="41"/>
  <c r="EU2" i="41"/>
  <c r="ET2" i="41"/>
  <c r="EQ2" i="41"/>
  <c r="EO2" i="41" s="1"/>
  <c r="EN2" i="41"/>
  <c r="EM2" i="41"/>
  <c r="EJ2" i="41"/>
  <c r="EH2" i="41"/>
  <c r="DT2" i="41"/>
  <c r="DR2" i="41" s="1"/>
  <c r="DQ2" i="41"/>
  <c r="DP2" i="41"/>
  <c r="DM2" i="41"/>
  <c r="DL2" i="41"/>
  <c r="DK2" i="41"/>
  <c r="DJ2" i="41"/>
  <c r="DG2" i="41"/>
  <c r="DE2" i="41"/>
  <c r="DD2" i="41"/>
  <c r="DA2" i="41" s="1"/>
  <c r="DC2" i="41"/>
  <c r="CZ2" i="41"/>
  <c r="CX2" i="41"/>
  <c r="CJ2" i="41"/>
  <c r="CH2" i="41" s="1"/>
  <c r="CG2" i="41"/>
  <c r="CF2" i="41"/>
  <c r="CD2" i="41"/>
  <c r="CC2" i="41"/>
  <c r="CB2" i="41"/>
  <c r="CA2" i="41"/>
  <c r="BZ2" i="41"/>
  <c r="BX2" i="41" s="1"/>
  <c r="BW2" i="41"/>
  <c r="BU2" i="41" s="1"/>
  <c r="BT2" i="41"/>
  <c r="BS2" i="41"/>
  <c r="BP2" i="41"/>
  <c r="BN2" i="41"/>
  <c r="AW2" i="41"/>
  <c r="AU2" i="41"/>
  <c r="AT2" i="41"/>
  <c r="AQ2" i="41" s="1"/>
  <c r="AS2" i="41"/>
  <c r="AP2" i="41"/>
  <c r="AO2" i="41"/>
  <c r="AN2" i="41"/>
  <c r="AM2" i="41"/>
  <c r="AJ2" i="41"/>
  <c r="AH2" i="41" s="1"/>
  <c r="AG2" i="41"/>
  <c r="AF2" i="41"/>
  <c r="AC2" i="41"/>
  <c r="AA2" i="41"/>
  <c r="N2" i="41"/>
  <c r="W2" i="41" s="1"/>
  <c r="M2" i="41"/>
  <c r="H2" i="41"/>
  <c r="Q2" i="41" s="1"/>
  <c r="DO7" i="41" l="1"/>
  <c r="DI3" i="41"/>
  <c r="EK2" i="41"/>
  <c r="FU2" i="41"/>
  <c r="FE7" i="41"/>
  <c r="HE2" i="41"/>
  <c r="DH2" i="41"/>
  <c r="GB2" i="41"/>
  <c r="JU3" i="41"/>
  <c r="BG5" i="41"/>
  <c r="BR5" i="41"/>
  <c r="JZ5" i="41"/>
  <c r="EA5" i="41"/>
  <c r="CE7" i="41"/>
  <c r="IP7" i="41"/>
  <c r="DS7" i="41"/>
  <c r="DB7" i="41"/>
  <c r="BV5" i="41"/>
  <c r="JT5" i="41"/>
  <c r="DF7" i="41"/>
  <c r="ER2" i="41"/>
  <c r="KM5" i="41"/>
  <c r="KQ5" i="41"/>
  <c r="Y5" i="41"/>
  <c r="FK7" i="41"/>
  <c r="HW7" i="41"/>
  <c r="ES7" i="41"/>
  <c r="EP7" i="41"/>
  <c r="HM7" i="41"/>
  <c r="HS7" i="41"/>
  <c r="FP7" i="41"/>
  <c r="EL7" i="41"/>
  <c r="EY7" i="41"/>
  <c r="BQ2" i="41"/>
  <c r="GH2" i="41"/>
  <c r="HL2" i="41"/>
  <c r="FE5" i="41"/>
  <c r="FF5" i="41" s="1"/>
  <c r="FG5" i="41" s="1"/>
  <c r="HR2" i="41"/>
  <c r="LD7" i="41"/>
  <c r="HZ6" i="41"/>
  <c r="IA6" i="41" s="1"/>
  <c r="GV6" i="41"/>
  <c r="T6" i="41"/>
  <c r="P6" i="41"/>
  <c r="DV6" i="41"/>
  <c r="DW6" i="41" s="1"/>
  <c r="CR6" i="41"/>
  <c r="AD2" i="41"/>
  <c r="DN2" i="41"/>
  <c r="MC7" i="41"/>
  <c r="MD7" i="41" s="1"/>
  <c r="ME7" i="41" s="1"/>
  <c r="FP5" i="41"/>
  <c r="BL5" i="41"/>
  <c r="O5" i="41"/>
  <c r="T5" i="41" s="1"/>
  <c r="IJ5" i="41"/>
  <c r="HF5" i="41"/>
  <c r="FF7" i="41"/>
  <c r="FG7" i="41" s="1"/>
  <c r="EB7" i="41"/>
  <c r="GP7" i="41"/>
  <c r="GQ7" i="41" s="1"/>
  <c r="FL7" i="41"/>
  <c r="GU7" i="41"/>
  <c r="GZ7" i="41"/>
  <c r="U7" i="41"/>
  <c r="AY7" i="41"/>
  <c r="AZ7" i="41" s="1"/>
  <c r="HY7" i="41"/>
  <c r="IE7" i="41"/>
  <c r="IJ7" i="41"/>
  <c r="BL7" i="41"/>
  <c r="BG7" i="41"/>
  <c r="JO7" i="41"/>
  <c r="JT7" i="41"/>
  <c r="CV7" i="41"/>
  <c r="CQ7" i="41"/>
  <c r="JI7" i="41"/>
  <c r="DU7" i="41"/>
  <c r="EA7" i="41"/>
  <c r="EF7" i="41"/>
  <c r="KS7" i="41"/>
  <c r="CL7" i="41"/>
  <c r="CM7" i="41" s="1"/>
  <c r="BH7" i="41"/>
  <c r="Y7" i="41"/>
  <c r="O7" i="41"/>
  <c r="IE5" i="41"/>
  <c r="HM5" i="41"/>
  <c r="HS5" i="41"/>
  <c r="HW5" i="41"/>
  <c r="GZ5" i="41"/>
  <c r="GU5" i="41"/>
  <c r="DU5" i="41"/>
  <c r="DB5" i="41"/>
  <c r="DF5" i="41"/>
  <c r="DO5" i="41"/>
  <c r="DS5" i="41"/>
  <c r="DI5" i="41"/>
  <c r="MC5" i="41"/>
  <c r="LQ5" i="41"/>
  <c r="LJ5" i="41"/>
  <c r="LN5" i="41"/>
  <c r="LW5" i="41"/>
  <c r="MA5" i="41"/>
  <c r="AX5" i="41"/>
  <c r="AL5" i="41"/>
  <c r="AR5" i="41"/>
  <c r="AI5" i="41"/>
  <c r="AE5" i="41"/>
  <c r="AV5" i="41"/>
  <c r="HY5" i="41"/>
  <c r="CL5" i="41"/>
  <c r="CM5" i="41" s="1"/>
  <c r="BH5" i="41"/>
  <c r="JI5" i="41"/>
  <c r="IP5" i="41"/>
  <c r="IT5" i="41"/>
  <c r="JC5" i="41"/>
  <c r="JG5" i="41"/>
  <c r="IW5" i="41"/>
  <c r="EB5" i="41"/>
  <c r="GO5" i="41"/>
  <c r="GC5" i="41"/>
  <c r="FV5" i="41"/>
  <c r="FZ5" i="41"/>
  <c r="GI5" i="41"/>
  <c r="GM5" i="41"/>
  <c r="LD5" i="41"/>
  <c r="KY5" i="41"/>
  <c r="KT5" i="41"/>
  <c r="KU5" i="41" s="1"/>
  <c r="JP5" i="41"/>
  <c r="CV5" i="41"/>
  <c r="DV4" i="41"/>
  <c r="DW4" i="41" s="1"/>
  <c r="CR4" i="41"/>
  <c r="FF4" i="41"/>
  <c r="FG4" i="41" s="1"/>
  <c r="EB4" i="41"/>
  <c r="CL4" i="41"/>
  <c r="CM4" i="41" s="1"/>
  <c r="BH4" i="41"/>
  <c r="IJ4" i="41"/>
  <c r="IE4" i="41"/>
  <c r="JT4" i="41"/>
  <c r="JO4" i="41"/>
  <c r="HZ4" i="41"/>
  <c r="IA4" i="41" s="1"/>
  <c r="GV4" i="41"/>
  <c r="O4" i="41"/>
  <c r="Y4" i="41"/>
  <c r="FP4" i="41"/>
  <c r="FK4" i="41"/>
  <c r="LD4" i="41"/>
  <c r="KY4" i="41"/>
  <c r="MC4" i="41"/>
  <c r="JI4" i="41"/>
  <c r="KT4" i="41"/>
  <c r="KU4" i="41" s="1"/>
  <c r="JP4" i="41"/>
  <c r="CV4" i="41"/>
  <c r="CQ4" i="41"/>
  <c r="EF4" i="41"/>
  <c r="EA4" i="41"/>
  <c r="BL4" i="41"/>
  <c r="BG4" i="41"/>
  <c r="GZ4" i="41"/>
  <c r="GU4" i="41"/>
  <c r="GO4" i="41"/>
  <c r="AX4" i="41"/>
  <c r="HA3" i="41"/>
  <c r="GY3" i="41" s="1"/>
  <c r="HY3" i="41" s="1"/>
  <c r="BK3" i="41"/>
  <c r="BL3" i="41" s="1"/>
  <c r="EG3" i="41"/>
  <c r="EE3" i="41" s="1"/>
  <c r="LE3" i="41"/>
  <c r="LC3" i="41" s="1"/>
  <c r="KY3" i="41" s="1"/>
  <c r="CW3" i="41"/>
  <c r="CU3" i="41" s="1"/>
  <c r="IK3" i="41"/>
  <c r="II3" i="41" s="1"/>
  <c r="JI3" i="41" s="1"/>
  <c r="Z3" i="41"/>
  <c r="X3" i="41" s="1"/>
  <c r="FV3" i="41"/>
  <c r="FQ3" i="41"/>
  <c r="FO3" i="41" s="1"/>
  <c r="GO3" i="41" s="1"/>
  <c r="LJ3" i="41"/>
  <c r="IW3" i="41"/>
  <c r="KM3" i="41"/>
  <c r="HS3" i="41"/>
  <c r="JZ3" i="41"/>
  <c r="EP3" i="41"/>
  <c r="HF3" i="41"/>
  <c r="DS3" i="41"/>
  <c r="HW3" i="41"/>
  <c r="EY3" i="41"/>
  <c r="KG3" i="41"/>
  <c r="GM3" i="41"/>
  <c r="DO3" i="41"/>
  <c r="LW3" i="41"/>
  <c r="JS3" i="41"/>
  <c r="AE3" i="41"/>
  <c r="AI3" i="41"/>
  <c r="LN3" i="41"/>
  <c r="HJ3" i="41"/>
  <c r="CI3" i="41"/>
  <c r="JG3" i="41"/>
  <c r="FZ3" i="41"/>
  <c r="AR3" i="41"/>
  <c r="LQ3" i="41"/>
  <c r="HM3" i="41"/>
  <c r="DB3" i="41"/>
  <c r="MA3" i="41"/>
  <c r="DF3" i="41"/>
  <c r="EL3" i="41"/>
  <c r="BY3" i="41"/>
  <c r="JC3" i="41"/>
  <c r="GC3" i="41"/>
  <c r="BV3" i="41"/>
  <c r="IP3" i="41"/>
  <c r="ES3" i="41"/>
  <c r="AL3" i="41"/>
  <c r="KQ3" i="41"/>
  <c r="FC3" i="41"/>
  <c r="CE3" i="41"/>
  <c r="KD3" i="41"/>
  <c r="BR3" i="41"/>
  <c r="CT2" i="41"/>
  <c r="DS2" i="41" s="1"/>
  <c r="R2" i="41"/>
  <c r="HA2" i="41" s="1"/>
  <c r="AB2" i="41"/>
  <c r="AI2" i="41"/>
  <c r="S2" i="41"/>
  <c r="BM2" i="41"/>
  <c r="AE2" i="41"/>
  <c r="AR2" i="41"/>
  <c r="AV2" i="41"/>
  <c r="JU2" i="41"/>
  <c r="LB2" i="41"/>
  <c r="LN2" i="41" s="1"/>
  <c r="JR2" i="41"/>
  <c r="KD2" i="41" s="1"/>
  <c r="IH2" i="41"/>
  <c r="IW2" i="41" s="1"/>
  <c r="GX2" i="41"/>
  <c r="FN2" i="41"/>
  <c r="GI2" i="41" s="1"/>
  <c r="ED2" i="41"/>
  <c r="EP2" i="41" s="1"/>
  <c r="AK2" i="41"/>
  <c r="AL2" i="41" s="1"/>
  <c r="BJ2" i="41"/>
  <c r="BY2" i="41" s="1"/>
  <c r="LG2" i="41"/>
  <c r="JW2" i="41"/>
  <c r="IM2" i="41"/>
  <c r="HC2" i="41"/>
  <c r="FS2" i="41"/>
  <c r="EI2" i="41"/>
  <c r="CY2" i="41"/>
  <c r="BO2" i="41"/>
  <c r="BA2" i="41"/>
  <c r="EX2" i="41"/>
  <c r="GY2" i="41" l="1"/>
  <c r="FQ2" i="41"/>
  <c r="CW2" i="41"/>
  <c r="KZ7" i="41"/>
  <c r="P5" i="41"/>
  <c r="T7" i="41"/>
  <c r="P7" i="41"/>
  <c r="JJ7" i="41"/>
  <c r="JK7" i="41" s="1"/>
  <c r="IF7" i="41"/>
  <c r="KT7" i="41"/>
  <c r="KU7" i="41" s="1"/>
  <c r="JP7" i="41"/>
  <c r="DV7" i="41"/>
  <c r="DW7" i="41" s="1"/>
  <c r="CR7" i="41"/>
  <c r="HZ7" i="41"/>
  <c r="IA7" i="41" s="1"/>
  <c r="GV7" i="41"/>
  <c r="AY5" i="41"/>
  <c r="AZ5" i="41" s="1"/>
  <c r="U5" i="41"/>
  <c r="DV5" i="41"/>
  <c r="DW5" i="41" s="1"/>
  <c r="CR5" i="41"/>
  <c r="JJ5" i="41"/>
  <c r="JK5" i="41" s="1"/>
  <c r="IF5" i="41"/>
  <c r="GP5" i="41"/>
  <c r="GQ5" i="41" s="1"/>
  <c r="FL5" i="41"/>
  <c r="HZ5" i="41"/>
  <c r="IA5" i="41" s="1"/>
  <c r="GV5" i="41"/>
  <c r="MD5" i="41"/>
  <c r="ME5" i="41" s="1"/>
  <c r="KZ5" i="41"/>
  <c r="CK3" i="41"/>
  <c r="CL3" i="41" s="1"/>
  <c r="CM3" i="41" s="1"/>
  <c r="JJ4" i="41"/>
  <c r="JK4" i="41" s="1"/>
  <c r="IF4" i="41"/>
  <c r="GP4" i="41"/>
  <c r="GQ4" i="41" s="1"/>
  <c r="FL4" i="41"/>
  <c r="MD4" i="41"/>
  <c r="ME4" i="41" s="1"/>
  <c r="KZ4" i="41"/>
  <c r="U4" i="41"/>
  <c r="AY4" i="41"/>
  <c r="AZ4" i="41" s="1"/>
  <c r="P4" i="41"/>
  <c r="T4" i="41"/>
  <c r="BG3" i="41"/>
  <c r="LD3" i="41"/>
  <c r="MC3" i="41"/>
  <c r="MD3" i="41" s="1"/>
  <c r="ME3" i="41" s="1"/>
  <c r="IK2" i="41"/>
  <c r="HZ3" i="41"/>
  <c r="IA3" i="41" s="1"/>
  <c r="GV3" i="41"/>
  <c r="GU3" i="41"/>
  <c r="GZ3" i="41"/>
  <c r="DI2" i="41"/>
  <c r="DB2" i="41"/>
  <c r="JJ3" i="41"/>
  <c r="JK3" i="41" s="1"/>
  <c r="IF3" i="41"/>
  <c r="CV3" i="41"/>
  <c r="CQ3" i="41"/>
  <c r="GP3" i="41"/>
  <c r="GQ3" i="41" s="1"/>
  <c r="FL3" i="41"/>
  <c r="Y3" i="41"/>
  <c r="O3" i="41"/>
  <c r="EF3" i="41"/>
  <c r="EA3" i="41"/>
  <c r="FP3" i="41"/>
  <c r="FK3" i="41"/>
  <c r="FE3" i="41"/>
  <c r="JT3" i="41"/>
  <c r="JO3" i="41"/>
  <c r="IJ3" i="41"/>
  <c r="IE3" i="41"/>
  <c r="AX3" i="41"/>
  <c r="DU3" i="41"/>
  <c r="KS3" i="41"/>
  <c r="DO2" i="41"/>
  <c r="DF2" i="41"/>
  <c r="MA2" i="41"/>
  <c r="GM2" i="41"/>
  <c r="Z2" i="41"/>
  <c r="EY2" i="41"/>
  <c r="KG2" i="41"/>
  <c r="KM2" i="41"/>
  <c r="LJ2" i="41"/>
  <c r="GC2" i="41"/>
  <c r="EL2" i="41"/>
  <c r="BK2" i="41"/>
  <c r="BL2" i="41" s="1"/>
  <c r="X2" i="41"/>
  <c r="O2" i="41" s="1"/>
  <c r="LE2" i="41"/>
  <c r="LC2" i="41" s="1"/>
  <c r="EG2" i="41"/>
  <c r="EE2" i="41" s="1"/>
  <c r="FO2" i="41"/>
  <c r="FK2" i="41" s="1"/>
  <c r="JG2" i="41"/>
  <c r="II2" i="41"/>
  <c r="IJ2" i="41" s="1"/>
  <c r="JC2" i="41"/>
  <c r="CE2" i="41"/>
  <c r="IP2" i="41"/>
  <c r="LW2" i="41"/>
  <c r="GZ2" i="41"/>
  <c r="GU2" i="41"/>
  <c r="HY2" i="41"/>
  <c r="HS2" i="41"/>
  <c r="HJ2" i="41"/>
  <c r="HM2" i="41"/>
  <c r="HW2" i="41"/>
  <c r="IT2" i="41"/>
  <c r="KQ2" i="41"/>
  <c r="FV2" i="41"/>
  <c r="ES2" i="41"/>
  <c r="BR2" i="41"/>
  <c r="HF2" i="41"/>
  <c r="CU2" i="41"/>
  <c r="BV2" i="41"/>
  <c r="JS2" i="41"/>
  <c r="KS2" i="41" s="1"/>
  <c r="FC2" i="41"/>
  <c r="JZ2" i="41"/>
  <c r="FZ2" i="41"/>
  <c r="CI2" i="41"/>
  <c r="LQ2" i="41"/>
  <c r="BH3" i="41" l="1"/>
  <c r="KZ3" i="41"/>
  <c r="GO2" i="41"/>
  <c r="FL2" i="41" s="1"/>
  <c r="FP2" i="41"/>
  <c r="CK2" i="41"/>
  <c r="BH2" i="41" s="1"/>
  <c r="BG2" i="41"/>
  <c r="AX2" i="41"/>
  <c r="AY2" i="41" s="1"/>
  <c r="AZ2" i="41" s="1"/>
  <c r="DV3" i="41"/>
  <c r="DW3" i="41" s="1"/>
  <c r="CR3" i="41"/>
  <c r="T3" i="41"/>
  <c r="P3" i="41"/>
  <c r="AY3" i="41"/>
  <c r="AZ3" i="41" s="1"/>
  <c r="U3" i="41"/>
  <c r="KT3" i="41"/>
  <c r="KU3" i="41" s="1"/>
  <c r="JP3" i="41"/>
  <c r="FF3" i="41"/>
  <c r="FG3" i="41" s="1"/>
  <c r="EB3" i="41"/>
  <c r="Y2" i="41"/>
  <c r="EF2" i="41"/>
  <c r="EA2" i="41"/>
  <c r="FE2" i="41"/>
  <c r="FF2" i="41" s="1"/>
  <c r="FG2" i="41" s="1"/>
  <c r="LD2" i="41"/>
  <c r="KY2" i="41"/>
  <c r="MC2" i="41"/>
  <c r="MD2" i="41" s="1"/>
  <c r="ME2" i="41" s="1"/>
  <c r="IE2" i="41"/>
  <c r="JI2" i="41"/>
  <c r="IF2" i="41" s="1"/>
  <c r="GP2" i="41"/>
  <c r="GQ2" i="41" s="1"/>
  <c r="T2" i="41"/>
  <c r="P2" i="41"/>
  <c r="KT2" i="41"/>
  <c r="KU2" i="41" s="1"/>
  <c r="JP2" i="41"/>
  <c r="JO2" i="41"/>
  <c r="JT2" i="41"/>
  <c r="CL2" i="41"/>
  <c r="CM2" i="41" s="1"/>
  <c r="CQ2" i="41"/>
  <c r="CV2" i="41"/>
  <c r="DU2" i="41"/>
  <c r="HZ2" i="41"/>
  <c r="IA2" i="41" s="1"/>
  <c r="GV2" i="41"/>
  <c r="U2" i="41" l="1"/>
  <c r="KZ2" i="41"/>
  <c r="JJ2" i="41"/>
  <c r="JK2" i="41" s="1"/>
  <c r="EB2" i="41"/>
  <c r="DV2" i="41"/>
  <c r="DW2" i="41" s="1"/>
  <c r="CR2" i="41"/>
  <c r="BL6" i="24" l="1"/>
  <c r="BK3" i="24" l="1"/>
  <c r="BJ3" i="24" l="1"/>
  <c r="BF3" i="24"/>
  <c r="BE3" i="24" s="1"/>
  <c r="BI3" i="24"/>
  <c r="D149" i="24" l="1"/>
  <c r="D146" i="24"/>
  <c r="D145" i="24"/>
  <c r="D142" i="24"/>
  <c r="D141" i="24"/>
  <c r="D140" i="24"/>
  <c r="D139" i="24"/>
  <c r="D136" i="24"/>
  <c r="D133" i="24"/>
  <c r="H129" i="24"/>
  <c r="D129" i="24"/>
  <c r="X149" i="24"/>
  <c r="X147" i="24" s="1"/>
  <c r="X146" i="24"/>
  <c r="X145" i="24"/>
  <c r="Z145" i="24" s="1"/>
  <c r="X142" i="24"/>
  <c r="X141" i="24"/>
  <c r="Z141" i="24" s="1"/>
  <c r="X140" i="24"/>
  <c r="X139" i="24"/>
  <c r="Z139" i="24" s="1"/>
  <c r="X136" i="24"/>
  <c r="X134" i="24" s="1"/>
  <c r="X133" i="24"/>
  <c r="Z133" i="24" s="1"/>
  <c r="X132" i="24"/>
  <c r="Z132" i="24" s="1"/>
  <c r="X129" i="24"/>
  <c r="X128" i="24"/>
  <c r="X127" i="24"/>
  <c r="X126" i="24"/>
  <c r="X123" i="24"/>
  <c r="X121" i="24"/>
  <c r="T149" i="24"/>
  <c r="T147" i="24" s="1"/>
  <c r="T146" i="24"/>
  <c r="T143" i="24" s="1"/>
  <c r="T145" i="24"/>
  <c r="V145" i="24" s="1"/>
  <c r="T142" i="24"/>
  <c r="T141" i="24"/>
  <c r="V141" i="24" s="1"/>
  <c r="T140" i="24"/>
  <c r="T139" i="24"/>
  <c r="V139" i="24" s="1"/>
  <c r="T136" i="24"/>
  <c r="T134" i="24" s="1"/>
  <c r="T133" i="24"/>
  <c r="V133" i="24" s="1"/>
  <c r="T132" i="24"/>
  <c r="V132" i="24" s="1"/>
  <c r="T129" i="24"/>
  <c r="T128" i="24"/>
  <c r="T127" i="24"/>
  <c r="T126" i="24"/>
  <c r="T123" i="24"/>
  <c r="T121" i="24"/>
  <c r="P149" i="24"/>
  <c r="P147" i="24" s="1"/>
  <c r="P146" i="24"/>
  <c r="P143" i="24" s="1"/>
  <c r="P145" i="24"/>
  <c r="R145" i="24" s="1"/>
  <c r="P142" i="24"/>
  <c r="P141" i="24"/>
  <c r="R141" i="24" s="1"/>
  <c r="P140" i="24"/>
  <c r="P139" i="24"/>
  <c r="P136" i="24"/>
  <c r="P134" i="24" s="1"/>
  <c r="P133" i="24"/>
  <c r="R133" i="24" s="1"/>
  <c r="P132" i="24"/>
  <c r="R132" i="24" s="1"/>
  <c r="P129" i="24"/>
  <c r="P128" i="24"/>
  <c r="P127" i="24"/>
  <c r="P126" i="24"/>
  <c r="P123" i="24"/>
  <c r="P121" i="24"/>
  <c r="L149" i="24"/>
  <c r="L146" i="24"/>
  <c r="L145" i="24"/>
  <c r="L142" i="24"/>
  <c r="L141" i="24"/>
  <c r="L140" i="24"/>
  <c r="L139" i="24"/>
  <c r="L136" i="24"/>
  <c r="L133" i="24"/>
  <c r="L132" i="24"/>
  <c r="L129" i="24"/>
  <c r="L128" i="24"/>
  <c r="L127" i="24"/>
  <c r="L126" i="24"/>
  <c r="L123" i="24"/>
  <c r="L121" i="24"/>
  <c r="H121" i="24"/>
  <c r="D121" i="24"/>
  <c r="H149" i="24"/>
  <c r="H146" i="24"/>
  <c r="H145" i="24"/>
  <c r="H142" i="24"/>
  <c r="H141" i="24"/>
  <c r="H140" i="24"/>
  <c r="H139" i="24"/>
  <c r="H136" i="24"/>
  <c r="H133" i="24"/>
  <c r="H132" i="24"/>
  <c r="H128" i="24"/>
  <c r="H127" i="24"/>
  <c r="H126" i="24"/>
  <c r="H123" i="24"/>
  <c r="D147" i="24"/>
  <c r="F145" i="24"/>
  <c r="F141" i="24"/>
  <c r="F139" i="24"/>
  <c r="D134" i="24"/>
  <c r="F133" i="24"/>
  <c r="D132" i="24"/>
  <c r="D128" i="24"/>
  <c r="D127" i="24"/>
  <c r="D126" i="24"/>
  <c r="D123" i="24"/>
  <c r="F3" i="24"/>
  <c r="J3" i="24"/>
  <c r="N3" i="24"/>
  <c r="R3" i="24"/>
  <c r="V3" i="24"/>
  <c r="Z3" i="24"/>
  <c r="D124" i="24" l="1"/>
  <c r="F132" i="24"/>
  <c r="H147" i="24"/>
  <c r="N145" i="24"/>
  <c r="P124" i="24"/>
  <c r="T124" i="24"/>
  <c r="X124" i="24"/>
  <c r="H124" i="24"/>
  <c r="N132" i="24"/>
  <c r="X137" i="24"/>
  <c r="J132" i="24"/>
  <c r="T137" i="24"/>
  <c r="X143" i="24"/>
  <c r="D143" i="24"/>
  <c r="P137" i="24"/>
  <c r="D137" i="24"/>
  <c r="H137" i="24"/>
  <c r="H134" i="24"/>
  <c r="H143" i="24"/>
  <c r="L147" i="24"/>
  <c r="J141" i="24"/>
  <c r="N133" i="24"/>
  <c r="N139" i="24"/>
  <c r="R139" i="24"/>
  <c r="L124" i="24"/>
  <c r="L134" i="24"/>
  <c r="J133" i="24"/>
  <c r="J139" i="24"/>
  <c r="J145" i="24"/>
  <c r="L137" i="24"/>
  <c r="N141" i="24"/>
  <c r="L143" i="24"/>
  <c r="Z129" i="24"/>
  <c r="Y132" i="24"/>
  <c r="X130" i="24"/>
  <c r="V129" i="24"/>
  <c r="U132" i="24"/>
  <c r="T130" i="24"/>
  <c r="R129" i="24"/>
  <c r="Q132" i="24"/>
  <c r="P130" i="24"/>
  <c r="N129" i="24"/>
  <c r="M132" i="24"/>
  <c r="L130" i="24"/>
  <c r="J129" i="24"/>
  <c r="I132" i="24"/>
  <c r="H130" i="24"/>
  <c r="F129" i="24"/>
  <c r="E132" i="24"/>
  <c r="D130" i="24"/>
  <c r="H150" i="24" l="1"/>
  <c r="H151" i="24" s="1"/>
  <c r="P150" i="24"/>
  <c r="P151" i="24" s="1"/>
  <c r="L150" i="24"/>
  <c r="L151" i="24" s="1"/>
  <c r="X150" i="24"/>
  <c r="X151" i="24" s="1"/>
  <c r="T150" i="24"/>
  <c r="T151" i="24" s="1"/>
  <c r="D150" i="24"/>
  <c r="D151" i="24" s="1"/>
  <c r="BD149" i="24" l="1"/>
  <c r="AZ149" i="24"/>
  <c r="AZ147" i="24" s="1"/>
  <c r="AV149" i="24"/>
  <c r="AR149" i="24"/>
  <c r="AN149" i="24"/>
  <c r="AJ149" i="24"/>
  <c r="AF149" i="24"/>
  <c r="AB149" i="24"/>
  <c r="AB147" i="24" s="1"/>
  <c r="BD146" i="24"/>
  <c r="AZ146" i="24"/>
  <c r="AV146" i="24"/>
  <c r="AR146" i="24"/>
  <c r="AN146" i="24"/>
  <c r="AJ146" i="24"/>
  <c r="AF146" i="24"/>
  <c r="AB146" i="24"/>
  <c r="BD145" i="24"/>
  <c r="AZ145" i="24"/>
  <c r="AZ143" i="24" s="1"/>
  <c r="AV145" i="24"/>
  <c r="AR145" i="24"/>
  <c r="AN145" i="24"/>
  <c r="AJ145" i="24"/>
  <c r="AF145" i="24"/>
  <c r="AB145" i="24"/>
  <c r="AD145" i="24" s="1"/>
  <c r="BD142" i="24"/>
  <c r="AZ142" i="24"/>
  <c r="AV142" i="24"/>
  <c r="AR142" i="24"/>
  <c r="AN142" i="24"/>
  <c r="AJ142" i="24"/>
  <c r="AF142" i="24"/>
  <c r="AB142" i="24"/>
  <c r="BD141" i="24"/>
  <c r="AZ141" i="24"/>
  <c r="AV141" i="24"/>
  <c r="AR141" i="24"/>
  <c r="AN141" i="24"/>
  <c r="AJ141" i="24"/>
  <c r="AF141" i="24"/>
  <c r="AB141" i="24"/>
  <c r="AD141" i="24" s="1"/>
  <c r="BD140" i="24"/>
  <c r="AZ140" i="24"/>
  <c r="AV140" i="24"/>
  <c r="AR140" i="24"/>
  <c r="AN140" i="24"/>
  <c r="AJ140" i="24"/>
  <c r="AF140" i="24"/>
  <c r="AB140" i="24"/>
  <c r="BD139" i="24"/>
  <c r="AZ139" i="24"/>
  <c r="AV139" i="24"/>
  <c r="AR139" i="24"/>
  <c r="AN139" i="24"/>
  <c r="AJ139" i="24"/>
  <c r="AF139" i="24"/>
  <c r="AB139" i="24"/>
  <c r="AD139" i="24" s="1"/>
  <c r="BD136" i="24"/>
  <c r="AZ136" i="24"/>
  <c r="AV136" i="24"/>
  <c r="AR136" i="24"/>
  <c r="AN136" i="24"/>
  <c r="AJ136" i="24"/>
  <c r="AF136" i="24"/>
  <c r="AB136" i="24"/>
  <c r="AB134" i="24" s="1"/>
  <c r="AZ134" i="24"/>
  <c r="AJ134" i="24"/>
  <c r="BD133" i="24"/>
  <c r="AZ133" i="24"/>
  <c r="AV133" i="24"/>
  <c r="AR133" i="24"/>
  <c r="AN133" i="24"/>
  <c r="AJ133" i="24"/>
  <c r="AF133" i="24"/>
  <c r="AB133" i="24"/>
  <c r="AD133" i="24" s="1"/>
  <c r="BD132" i="24"/>
  <c r="AZ132" i="24"/>
  <c r="AV132" i="24"/>
  <c r="AR132" i="24"/>
  <c r="AN132" i="24"/>
  <c r="AJ132" i="24"/>
  <c r="AF132" i="24"/>
  <c r="AB132" i="24"/>
  <c r="AD132" i="24" s="1"/>
  <c r="BD129" i="24"/>
  <c r="AZ129" i="24"/>
  <c r="AV129" i="24"/>
  <c r="AR129" i="24"/>
  <c r="AN129" i="24"/>
  <c r="AJ129" i="24"/>
  <c r="AL129" i="24" s="1"/>
  <c r="AF129" i="24"/>
  <c r="AH129" i="24" s="1"/>
  <c r="AB129" i="24"/>
  <c r="AD129" i="24" s="1"/>
  <c r="BD128" i="24"/>
  <c r="AZ128" i="24"/>
  <c r="AV128" i="24"/>
  <c r="AR128" i="24"/>
  <c r="AN128" i="24"/>
  <c r="AJ128" i="24"/>
  <c r="AF128" i="24"/>
  <c r="AB128" i="24"/>
  <c r="BD127" i="24"/>
  <c r="AZ127" i="24"/>
  <c r="AV127" i="24"/>
  <c r="AR127" i="24"/>
  <c r="AN127" i="24"/>
  <c r="AJ127" i="24"/>
  <c r="AF127" i="24"/>
  <c r="AB127" i="24"/>
  <c r="BD126" i="24"/>
  <c r="AZ126" i="24"/>
  <c r="AV126" i="24"/>
  <c r="AR126" i="24"/>
  <c r="AN126" i="24"/>
  <c r="AJ126" i="24"/>
  <c r="AF126" i="24"/>
  <c r="AB126" i="24"/>
  <c r="BD123" i="24"/>
  <c r="AZ123" i="24"/>
  <c r="AV123" i="24"/>
  <c r="AR123" i="24"/>
  <c r="AN123" i="24"/>
  <c r="AJ123" i="24"/>
  <c r="AF123" i="24"/>
  <c r="AB123" i="24"/>
  <c r="BD121" i="24"/>
  <c r="AZ121" i="24"/>
  <c r="AV121" i="24"/>
  <c r="AR121" i="24"/>
  <c r="AF13" i="24"/>
  <c r="AF12" i="24"/>
  <c r="AF11" i="24"/>
  <c r="AF10" i="24"/>
  <c r="AD3" i="24"/>
  <c r="AL141" i="24" l="1"/>
  <c r="BF140" i="24"/>
  <c r="AF143" i="24"/>
  <c r="Q143" i="24"/>
  <c r="Y147" i="24"/>
  <c r="U134" i="24"/>
  <c r="Y124" i="24"/>
  <c r="U124" i="24"/>
  <c r="Q124" i="24"/>
  <c r="M124" i="24"/>
  <c r="I124" i="24"/>
  <c r="E124" i="24"/>
  <c r="U143" i="24"/>
  <c r="Y134" i="24"/>
  <c r="E134" i="24"/>
  <c r="Q147" i="24"/>
  <c r="E147" i="24"/>
  <c r="U147" i="24"/>
  <c r="Q134" i="24"/>
  <c r="E130" i="24"/>
  <c r="U130" i="24"/>
  <c r="Y143" i="24"/>
  <c r="M143" i="24"/>
  <c r="I143" i="24"/>
  <c r="I130" i="24"/>
  <c r="Y130" i="24"/>
  <c r="E137" i="24"/>
  <c r="Q137" i="24"/>
  <c r="I134" i="24"/>
  <c r="M130" i="24"/>
  <c r="M137" i="24"/>
  <c r="U137" i="24"/>
  <c r="Y137" i="24"/>
  <c r="M134" i="24"/>
  <c r="E143" i="24"/>
  <c r="Q130" i="24"/>
  <c r="I137" i="24"/>
  <c r="I147" i="24"/>
  <c r="M147" i="24"/>
  <c r="AR147" i="24"/>
  <c r="AS147" i="24" s="1"/>
  <c r="AV143" i="24"/>
  <c r="AW143" i="24" s="1"/>
  <c r="AL145" i="24"/>
  <c r="AO126" i="24"/>
  <c r="BE126" i="24"/>
  <c r="AO127" i="24"/>
  <c r="BE127" i="24"/>
  <c r="AO128" i="24"/>
  <c r="BE128" i="24"/>
  <c r="BA133" i="24"/>
  <c r="AR134" i="24"/>
  <c r="BF141" i="24"/>
  <c r="BA143" i="24"/>
  <c r="AS126" i="24"/>
  <c r="AS127" i="24"/>
  <c r="AS128" i="24"/>
  <c r="AH141" i="24"/>
  <c r="BD143" i="24"/>
  <c r="BE143" i="24" s="1"/>
  <c r="AJ147" i="24"/>
  <c r="AG126" i="24"/>
  <c r="AW126" i="24"/>
  <c r="AG127" i="24"/>
  <c r="AW127" i="24"/>
  <c r="AG128" i="24"/>
  <c r="AW128" i="24"/>
  <c r="AC132" i="24"/>
  <c r="AN143" i="24"/>
  <c r="AH145" i="24"/>
  <c r="BF146" i="24"/>
  <c r="AK126" i="24"/>
  <c r="BA126" i="24"/>
  <c r="AK127" i="24"/>
  <c r="BA127" i="24"/>
  <c r="AK128" i="24"/>
  <c r="BA128" i="24"/>
  <c r="BF126" i="24"/>
  <c r="AS132" i="24"/>
  <c r="AS134" i="24"/>
  <c r="AZ137" i="24"/>
  <c r="BA137" i="24" s="1"/>
  <c r="AK147" i="24"/>
  <c r="BA147" i="24"/>
  <c r="BF127" i="24"/>
  <c r="BF128" i="24"/>
  <c r="AN124" i="24"/>
  <c r="AK132" i="24"/>
  <c r="BA132" i="24"/>
  <c r="AK134" i="24"/>
  <c r="BA134" i="24"/>
  <c r="AS129" i="24"/>
  <c r="AF130" i="24"/>
  <c r="AG130" i="24" s="1"/>
  <c r="AN130" i="24"/>
  <c r="AO130" i="24" s="1"/>
  <c r="AV130" i="24"/>
  <c r="AW130" i="24" s="1"/>
  <c r="AG132" i="24"/>
  <c r="AG133" i="24"/>
  <c r="AO133" i="24"/>
  <c r="AW133" i="24"/>
  <c r="AF134" i="24"/>
  <c r="AG134" i="24" s="1"/>
  <c r="AN134" i="24"/>
  <c r="AO134" i="24" s="1"/>
  <c r="AV134" i="24"/>
  <c r="AW134" i="24" s="1"/>
  <c r="AC134" i="24"/>
  <c r="AN137" i="24"/>
  <c r="AO137" i="24" s="1"/>
  <c r="BD137" i="24"/>
  <c r="BE137" i="24" s="1"/>
  <c r="AF147" i="24"/>
  <c r="AG147" i="24" s="1"/>
  <c r="AN147" i="24"/>
  <c r="AO147" i="24" s="1"/>
  <c r="AV147" i="24"/>
  <c r="AW147" i="24" s="1"/>
  <c r="AC147" i="24"/>
  <c r="AW129" i="24"/>
  <c r="AH132" i="24"/>
  <c r="AW132" i="24"/>
  <c r="BE132" i="24"/>
  <c r="AG143" i="24"/>
  <c r="AO132" i="24"/>
  <c r="AO143" i="24"/>
  <c r="BA129" i="24"/>
  <c r="AJ130" i="24"/>
  <c r="AK130" i="24" s="1"/>
  <c r="AR130" i="24"/>
  <c r="AS130" i="24" s="1"/>
  <c r="AZ130" i="24"/>
  <c r="BA130" i="24" s="1"/>
  <c r="AK133" i="24"/>
  <c r="AS133" i="24"/>
  <c r="AJ143" i="24"/>
  <c r="AK143" i="24" s="1"/>
  <c r="AR143" i="24"/>
  <c r="AS143" i="24" s="1"/>
  <c r="AZ124" i="24"/>
  <c r="BA124" i="24" s="1"/>
  <c r="AF137" i="24"/>
  <c r="AG137" i="24" s="1"/>
  <c r="AF124" i="24"/>
  <c r="AV124" i="24"/>
  <c r="AW124" i="24" s="1"/>
  <c r="AG129" i="24"/>
  <c r="AV137" i="24"/>
  <c r="AW137" i="24" s="1"/>
  <c r="AO129" i="24"/>
  <c r="AB124" i="24"/>
  <c r="AC124" i="24" s="1"/>
  <c r="AR124" i="24"/>
  <c r="AS124" i="24" s="1"/>
  <c r="AB130" i="24"/>
  <c r="AC130" i="24" s="1"/>
  <c r="AO124" i="24"/>
  <c r="AB137" i="24"/>
  <c r="AC137" i="24" s="1"/>
  <c r="AJ124" i="24"/>
  <c r="AK129" i="24"/>
  <c r="AJ137" i="24"/>
  <c r="AK137" i="24" s="1"/>
  <c r="AR137" i="24"/>
  <c r="AS137" i="24" s="1"/>
  <c r="AB143" i="24"/>
  <c r="AC143" i="24" s="1"/>
  <c r="BE129" i="24"/>
  <c r="BD130" i="24"/>
  <c r="BE130" i="24" s="1"/>
  <c r="BF132" i="24"/>
  <c r="BE133" i="24"/>
  <c r="BD134" i="24"/>
  <c r="BE134" i="24" s="1"/>
  <c r="BF139" i="24"/>
  <c r="BF149" i="24"/>
  <c r="BD124" i="24"/>
  <c r="BF129" i="24"/>
  <c r="BF133" i="24"/>
  <c r="BF136" i="24"/>
  <c r="BF142" i="24"/>
  <c r="BF145" i="24"/>
  <c r="BD147" i="24"/>
  <c r="BE147" i="24" s="1"/>
  <c r="I151" i="24" l="1"/>
  <c r="J151" i="24" s="1"/>
  <c r="Y151" i="24"/>
  <c r="Z151" i="24" s="1"/>
  <c r="AN150" i="24"/>
  <c r="AN151" i="24" s="1"/>
  <c r="AP151" i="24" s="1"/>
  <c r="BA151" i="24"/>
  <c r="M151" i="24"/>
  <c r="N151" i="24" s="1"/>
  <c r="Q151" i="24"/>
  <c r="R151" i="24" s="1"/>
  <c r="E151" i="24"/>
  <c r="F151" i="24" s="1"/>
  <c r="U151" i="24"/>
  <c r="V151" i="24" s="1"/>
  <c r="AF150" i="24"/>
  <c r="AF151" i="24" s="1"/>
  <c r="AZ150" i="24"/>
  <c r="AZ151" i="24" s="1"/>
  <c r="BB151" i="24" s="1"/>
  <c r="AG124" i="24"/>
  <c r="AG151" i="24" s="1"/>
  <c r="AS151" i="24"/>
  <c r="AO151" i="24"/>
  <c r="AH151" i="24"/>
  <c r="AW151" i="24"/>
  <c r="AC151" i="24"/>
  <c r="AV150" i="24"/>
  <c r="AV151" i="24" s="1"/>
  <c r="AX151" i="24" s="1"/>
  <c r="AB150" i="24"/>
  <c r="AB151" i="24" s="1"/>
  <c r="AD151" i="24" s="1"/>
  <c r="AK124" i="24"/>
  <c r="AK151" i="24" s="1"/>
  <c r="AJ150" i="24"/>
  <c r="AJ151" i="24" s="1"/>
  <c r="AR150" i="24"/>
  <c r="AR151" i="24" s="1"/>
  <c r="AT151" i="24" s="1"/>
  <c r="BE124" i="24"/>
  <c r="BE151" i="24" s="1"/>
  <c r="BD150" i="24"/>
  <c r="BD151" i="24" s="1"/>
  <c r="BF151" i="24" l="1"/>
</calcChain>
</file>

<file path=xl/sharedStrings.xml><?xml version="1.0" encoding="utf-8"?>
<sst xmlns="http://schemas.openxmlformats.org/spreadsheetml/2006/main" count="522" uniqueCount="195">
  <si>
    <t>INGRESOS POR FLETE</t>
  </si>
  <si>
    <t>COSTO POR VIAJE</t>
  </si>
  <si>
    <t>Ingresos del Viaje</t>
  </si>
  <si>
    <t>Costo Variable de Operación</t>
  </si>
  <si>
    <t>Diesel</t>
  </si>
  <si>
    <t xml:space="preserve">Autopistas </t>
  </si>
  <si>
    <t>Sueldo</t>
  </si>
  <si>
    <t>Otros</t>
  </si>
  <si>
    <t>Costo Fijo de operación</t>
  </si>
  <si>
    <t>Arrendamientos</t>
  </si>
  <si>
    <t>Seguros</t>
  </si>
  <si>
    <t>Carga Social</t>
  </si>
  <si>
    <t>Costo Variable de Mantenimiento</t>
  </si>
  <si>
    <t>Refacciones y M.O.</t>
  </si>
  <si>
    <t>Llantas</t>
  </si>
  <si>
    <t>Incidencias Operativas</t>
  </si>
  <si>
    <t>Deducibles y Otros</t>
  </si>
  <si>
    <t>Costos Fijos de Administracion</t>
  </si>
  <si>
    <t>Sueldos y Salarios</t>
  </si>
  <si>
    <t>Utilidad de Operacion</t>
  </si>
  <si>
    <t>MODELO ECONOMICO MENSUAL</t>
  </si>
  <si>
    <t>Casetas y Peajes (Op. Advan)</t>
  </si>
  <si>
    <t>Combustibles (Op. Advan)</t>
  </si>
  <si>
    <t>Facilidades Administrativas</t>
  </si>
  <si>
    <t>Gastos de Viaje</t>
  </si>
  <si>
    <t>Sueldos Operadores (Op. Advan)</t>
  </si>
  <si>
    <t>Total Costo Variable de Operación</t>
  </si>
  <si>
    <t>Accesorios</t>
  </si>
  <si>
    <t>Carroceria y Pintura</t>
  </si>
  <si>
    <t>Imagen Unidades</t>
  </si>
  <si>
    <t>Insumos Taller</t>
  </si>
  <si>
    <t>Mano de Obra Taller</t>
  </si>
  <si>
    <t>Mantenimiento Preventivo</t>
  </si>
  <si>
    <t>Refacciones</t>
  </si>
  <si>
    <t>Sistema de Enfriamiento</t>
  </si>
  <si>
    <t>Sistema de Sujecion</t>
  </si>
  <si>
    <t>Sistema Electrico y Luces</t>
  </si>
  <si>
    <t>Sistema Mecanico Motor</t>
  </si>
  <si>
    <t>Sistema Neumatico, Frenos</t>
  </si>
  <si>
    <t>Suspension</t>
  </si>
  <si>
    <t>Taller Externo</t>
  </si>
  <si>
    <t>Transmision y Diferencial</t>
  </si>
  <si>
    <t>Total Costo Variable de Mantenimiento</t>
  </si>
  <si>
    <t>Costo Fijo de Operación</t>
  </si>
  <si>
    <t>Localizacion</t>
  </si>
  <si>
    <t>Multas, Derechos y Suscripciones</t>
  </si>
  <si>
    <t>No Deducibles</t>
  </si>
  <si>
    <t>Sueldos y Salarios (Carga Social)</t>
  </si>
  <si>
    <t>Telefonia y Comunicaciones</t>
  </si>
  <si>
    <t>Uniformes y Equipo</t>
  </si>
  <si>
    <t>Total Costo Fijo de Operación</t>
  </si>
  <si>
    <t>Deducibles</t>
  </si>
  <si>
    <t>Gestoria Federales</t>
  </si>
  <si>
    <t>Gestoria SCT</t>
  </si>
  <si>
    <t>Maniobras</t>
  </si>
  <si>
    <t>Total Incidencias Operativas</t>
  </si>
  <si>
    <t>Costo Fijo de Administracion</t>
  </si>
  <si>
    <t>Arrendamiento</t>
  </si>
  <si>
    <t>Cafeteria y Despensa</t>
  </si>
  <si>
    <t>Equipo de Computo y Sistemas</t>
  </si>
  <si>
    <t>Eventos y Reconocimientos</t>
  </si>
  <si>
    <t>Gastos Medicos</t>
  </si>
  <si>
    <t>Impuestos</t>
  </si>
  <si>
    <t>Papeleria y Art. Ofna.</t>
  </si>
  <si>
    <t>Servicios Ordinarios</t>
  </si>
  <si>
    <t>Servicios Profesionales</t>
  </si>
  <si>
    <t>Total Costo Fijo de Administracion</t>
  </si>
  <si>
    <t>Otros Ingresos</t>
  </si>
  <si>
    <t>Productos Financieros</t>
  </si>
  <si>
    <t>Otros Gastos</t>
  </si>
  <si>
    <t>Intereses</t>
  </si>
  <si>
    <t>Costos Integral del financiamiento</t>
  </si>
  <si>
    <t>Destino</t>
  </si>
  <si>
    <t>Flete</t>
  </si>
  <si>
    <t>Enero</t>
  </si>
  <si>
    <t>Marzo</t>
  </si>
  <si>
    <t>Abril</t>
  </si>
  <si>
    <t>Mayo</t>
  </si>
  <si>
    <t>Junio</t>
  </si>
  <si>
    <t>Acumulado</t>
  </si>
  <si>
    <t>Kms Mensuales</t>
  </si>
  <si>
    <t>Unidades Operativas</t>
  </si>
  <si>
    <t>Viajes por mes</t>
  </si>
  <si>
    <t>Kms por unidad</t>
  </si>
  <si>
    <t>Viajes por unidad</t>
  </si>
  <si>
    <t>Distancia por viaje</t>
  </si>
  <si>
    <t>Venta por viaje</t>
  </si>
  <si>
    <t>FLETES</t>
  </si>
  <si>
    <t>%</t>
  </si>
  <si>
    <t>$ xKm</t>
  </si>
  <si>
    <t>Total Ingreso</t>
  </si>
  <si>
    <t>Alineacion y Balanceo</t>
  </si>
  <si>
    <t>Conexiones, Mangueras y Tornilleria</t>
  </si>
  <si>
    <t>Filtros</t>
  </si>
  <si>
    <t>Lavados de Equipo</t>
  </si>
  <si>
    <t>Montaje y Desmontaje de Llantas</t>
  </si>
  <si>
    <t>Sistema Direccion Hidraulica</t>
  </si>
  <si>
    <t>Sueldos Taller</t>
  </si>
  <si>
    <t>Total de Costos Variables</t>
  </si>
  <si>
    <t>Margen de Operación</t>
  </si>
  <si>
    <t>Gestoria Otros</t>
  </si>
  <si>
    <t>Gruas y Arrastres</t>
  </si>
  <si>
    <t>Arrendamiento de unidades</t>
  </si>
  <si>
    <t>Corralones</t>
  </si>
  <si>
    <t>Raclutamiento de Personal</t>
  </si>
  <si>
    <t>Total de Fijos y Administracion</t>
  </si>
  <si>
    <t>UAFIRDA</t>
  </si>
  <si>
    <t>Depreciaciones</t>
  </si>
  <si>
    <t>Costo Financiero</t>
  </si>
  <si>
    <t>Total Depreciacion y Costo Financiero</t>
  </si>
  <si>
    <t>UAFIR</t>
  </si>
  <si>
    <t>UTILIDADES ANTES DE IMPUESTOS</t>
  </si>
  <si>
    <t>Estrategia Fiscal Para la Reinversion</t>
  </si>
  <si>
    <t xml:space="preserve">Otros Ingresos </t>
  </si>
  <si>
    <t>UTILIDADES DESPUES DE REINVERSION</t>
  </si>
  <si>
    <t>Sueldo por Km</t>
  </si>
  <si>
    <t>Unidades Pagadas</t>
  </si>
  <si>
    <t>Julio</t>
  </si>
  <si>
    <t>Lubricantes y Grasas</t>
  </si>
  <si>
    <t>Reparacion de Cristales</t>
  </si>
  <si>
    <t>Estado de Resultados</t>
  </si>
  <si>
    <t>Nombre Cliente</t>
  </si>
  <si>
    <t>Origen</t>
  </si>
  <si>
    <t>Config</t>
  </si>
  <si>
    <t>Kms Redondos</t>
  </si>
  <si>
    <t>Costo Variable de Operación (CVO)</t>
  </si>
  <si>
    <t>% C V O</t>
  </si>
  <si>
    <t>Viaje Sencillo</t>
  </si>
  <si>
    <t>Configuracion</t>
  </si>
  <si>
    <t>Viaje Full</t>
  </si>
  <si>
    <t>CHIHUAHUA</t>
  </si>
  <si>
    <t>GUADALAJARA</t>
  </si>
  <si>
    <t>SALAMANCA</t>
  </si>
  <si>
    <t>Fecha</t>
  </si>
  <si>
    <t xml:space="preserve">UTILIDAD x KM </t>
  </si>
  <si>
    <t>Folio Ctrl</t>
  </si>
  <si>
    <t>% I O</t>
  </si>
  <si>
    <t>% C F O</t>
  </si>
  <si>
    <t>% C A</t>
  </si>
  <si>
    <t>% C I F</t>
  </si>
  <si>
    <t>Resumen</t>
  </si>
  <si>
    <t>Agosto</t>
  </si>
  <si>
    <t>Utilidad de Operación (UAFIR)</t>
  </si>
  <si>
    <t>MODELO ECONOMICO MENSUAL AGO18</t>
  </si>
  <si>
    <t>Septiembre</t>
  </si>
  <si>
    <t>Octubre</t>
  </si>
  <si>
    <t>Noviembre</t>
  </si>
  <si>
    <t>Diciembre</t>
  </si>
  <si>
    <t>MODELO ECONOMICO MENSUAL SEP18</t>
  </si>
  <si>
    <t>MODELO ECONOMICO MENSUAL OCT18</t>
  </si>
  <si>
    <t>MODELO ECONOMICO MENSUAL NOV18</t>
  </si>
  <si>
    <t>MODELO ECONOMICO MENSUAL DIC18</t>
  </si>
  <si>
    <t>% U de O</t>
  </si>
  <si>
    <t>COSTO x VIAJE</t>
  </si>
  <si>
    <t>VIAJES EN BASE A TIEMPOS</t>
  </si>
  <si>
    <t>Sistema Aire Acondicionado</t>
  </si>
  <si>
    <t>Costos Integral del Financiamiento</t>
  </si>
  <si>
    <t>Promedio Mensual</t>
  </si>
  <si>
    <t>Kms 1 Sentido</t>
  </si>
  <si>
    <t>Pistas 1 Sentido</t>
  </si>
  <si>
    <t>Rend de Diesel</t>
  </si>
  <si>
    <t>Ppto de Viajes Mensual</t>
  </si>
  <si>
    <t>Fact Sueldo Ope x Km</t>
  </si>
  <si>
    <t>Costo x Viaje</t>
  </si>
  <si>
    <t>Utilidad x Viaje</t>
  </si>
  <si>
    <t>Tot Kms Mensual</t>
  </si>
  <si>
    <t>Lts de Diesel x Viaje</t>
  </si>
  <si>
    <t>Vta x Km</t>
  </si>
  <si>
    <t>Costo x Km</t>
  </si>
  <si>
    <t>Utilidad x Km</t>
  </si>
  <si>
    <t>% C F A</t>
  </si>
  <si>
    <t>% Incremento Casetas 2019</t>
  </si>
  <si>
    <t>Precio de Diesel (sin IVA) con % Incremento 2019</t>
  </si>
  <si>
    <t>Febrero</t>
  </si>
  <si>
    <t>MODELO ECONOMICO MENSUAL ENE 18</t>
  </si>
  <si>
    <t>MODELO ECONOMICO MENSUAL FEB 18</t>
  </si>
  <si>
    <t>MODELO ECONOMICO MENSUAL MAR 18</t>
  </si>
  <si>
    <t>iva</t>
  </si>
  <si>
    <t>Diesel IVA</t>
  </si>
  <si>
    <t>Diesel sin IVA</t>
  </si>
  <si>
    <t>MODELO ECONOMICO PROM MEN</t>
  </si>
  <si>
    <t>ONE WAY</t>
  </si>
  <si>
    <t>AGUASCALIENTES</t>
  </si>
  <si>
    <t>CALERA DE VICTOR ROSALEZ, ZAC</t>
  </si>
  <si>
    <t>TORREON</t>
  </si>
  <si>
    <t>Tipo</t>
  </si>
  <si>
    <t>TWO WAY</t>
  </si>
  <si>
    <t>LALA</t>
  </si>
  <si>
    <t>PEPSI</t>
  </si>
  <si>
    <t>GPO MODELO</t>
  </si>
  <si>
    <t>APODACA VIA VILLA COSS</t>
  </si>
  <si>
    <t>IND VIDRIERA SLP</t>
  </si>
  <si>
    <t xml:space="preserve">TUXLTA GTZ </t>
  </si>
  <si>
    <t>MAZATLAN VIA GDL</t>
  </si>
  <si>
    <t>LOS MOCHIS VIA GDL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</si>
</sst>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44" formatCode="_-&quot;$&quot;* #,##0.00_-;\-&quot;$&quot;* #,##0.00_-;_-&quot;$&quot;* &quot;-&quot;??_-;_-@_-"/>
    <numFmt numFmtId="43" formatCode="_-* #,##0.00_-;\-* #,##0.00_-;_-* &quot;-&quot;??_-;_-@_-"/>
    <numFmt numFmtId="164" formatCode="&quot;$&quot;#,##0.00"/>
    <numFmt numFmtId="165" formatCode="_-[$$-80A]* #,##0_-;\-[$$-80A]* #,##0_-;_-[$$-80A]* &quot;-&quot;??_-;_-@_-"/>
    <numFmt numFmtId="166" formatCode="_-[$$-80A]* #,##0.00_-;\-[$$-80A]* #,##0.00_-;_-[$$-80A]* &quot;-&quot;??_-;_-@_-"/>
    <numFmt numFmtId="167" formatCode="_-* #,##0_-;\-* #,##0_-;_-* &quot;-&quot;??_-;_-@_-"/>
    <numFmt numFmtId="168" formatCode="0.0%"/>
    <numFmt numFmtId="169" formatCode="_-* #,##0.0_-;\-* #,##0.0_-;_-* &quot;-&quot;?_-;_-@_-"/>
    <numFmt numFmtId="170" formatCode="#,##0.0"/>
    <numFmt numFmtId="171" formatCode="_-&quot;$&quot;* #,##0_-;\-&quot;$&quot;* #,##0_-;_-&quot;$&quot;* &quot;-&quot;??_-;_-@_-"/>
  </numFmts>
  <fonts count="25" x14ac:knownFonts="1">
    <font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000000"/>
      <name val="Arial"/>
      <family val="2"/>
    </font>
    <font>
      <sz val="10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8"/>
      <color theme="0"/>
      <name val="Arial"/>
      <family val="2"/>
    </font>
    <font>
      <sz val="8"/>
      <color theme="1"/>
      <name val="Arial"/>
      <family val="2"/>
    </font>
    <font>
      <b/>
      <sz val="8"/>
      <color rgb="FFFFFF00"/>
      <name val="Arial"/>
      <family val="2"/>
    </font>
    <font>
      <sz val="8"/>
      <color rgb="FFFFFF00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8"/>
      <color theme="1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sz val="18"/>
      <name val="Calibri"/>
      <family val="2"/>
      <scheme val="minor"/>
    </font>
    <font>
      <b/>
      <sz val="24"/>
      <name val="Calibri"/>
      <family val="2"/>
      <scheme val="minor"/>
    </font>
    <font>
      <sz val="11"/>
      <name val="Calibri"/>
      <family val="2"/>
      <scheme val="minor"/>
    </font>
    <font>
      <b/>
      <sz val="12"/>
      <name val="Calibri"/>
      <family val="2"/>
      <scheme val="minor"/>
    </font>
    <font>
      <sz val="14"/>
      <color rgb="FF000000"/>
      <name val="Arial"/>
      <family val="2"/>
    </font>
    <font>
      <b/>
      <sz val="22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</borders>
  <cellStyleXfs count="6">
    <xf numFmtId="0" fontId="0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24" fillId="0" borderId="0"/>
    <xf numFmtId="43" fontId="24" fillId="0" borderId="0" applyFont="0" applyFill="0" applyBorder="0" applyAlignment="0" applyProtection="0"/>
  </cellStyleXfs>
  <cellXfs count="196">
    <xf numFmtId="0" fontId="0" fillId="0" borderId="0" xfId="0"/>
    <xf numFmtId="0" fontId="2" fillId="0" borderId="0" xfId="0" applyFont="1"/>
    <xf numFmtId="0" fontId="2" fillId="2" borderId="0" xfId="0" applyFont="1" applyFill="1" applyBorder="1"/>
    <xf numFmtId="0" fontId="2" fillId="2" borderId="0" xfId="0" applyFont="1" applyFill="1"/>
    <xf numFmtId="165" fontId="2" fillId="2" borderId="0" xfId="0" applyNumberFormat="1" applyFont="1" applyFill="1" applyBorder="1" applyAlignment="1">
      <alignment horizontal="center"/>
    </xf>
    <xf numFmtId="165" fontId="2" fillId="0" borderId="2" xfId="0" applyNumberFormat="1" applyFont="1" applyBorder="1" applyAlignment="1">
      <alignment horizontal="center"/>
    </xf>
    <xf numFmtId="165" fontId="2" fillId="0" borderId="1" xfId="0" applyNumberFormat="1" applyFont="1" applyBorder="1" applyAlignment="1">
      <alignment horizontal="center"/>
    </xf>
    <xf numFmtId="0" fontId="3" fillId="9" borderId="4" xfId="0" applyFont="1" applyFill="1" applyBorder="1"/>
    <xf numFmtId="165" fontId="3" fillId="9" borderId="4" xfId="0" applyNumberFormat="1" applyFont="1" applyFill="1" applyBorder="1" applyAlignment="1">
      <alignment horizontal="center"/>
    </xf>
    <xf numFmtId="9" fontId="3" fillId="9" borderId="4" xfId="1" applyFont="1" applyFill="1" applyBorder="1" applyAlignment="1">
      <alignment horizontal="center"/>
    </xf>
    <xf numFmtId="166" fontId="3" fillId="9" borderId="4" xfId="0" applyNumberFormat="1" applyFont="1" applyFill="1" applyBorder="1" applyAlignment="1">
      <alignment horizontal="center"/>
    </xf>
    <xf numFmtId="166" fontId="3" fillId="2" borderId="0" xfId="0" applyNumberFormat="1" applyFont="1" applyFill="1" applyBorder="1" applyAlignment="1">
      <alignment horizontal="center"/>
    </xf>
    <xf numFmtId="165" fontId="3" fillId="9" borderId="3" xfId="0" applyNumberFormat="1" applyFont="1" applyFill="1" applyBorder="1" applyAlignment="1">
      <alignment horizontal="center"/>
    </xf>
    <xf numFmtId="165" fontId="3" fillId="9" borderId="1" xfId="0" applyNumberFormat="1" applyFont="1" applyFill="1" applyBorder="1" applyAlignment="1">
      <alignment horizontal="center"/>
    </xf>
    <xf numFmtId="166" fontId="3" fillId="9" borderId="1" xfId="0" applyNumberFormat="1" applyFont="1" applyFill="1" applyBorder="1" applyAlignment="1">
      <alignment horizontal="center"/>
    </xf>
    <xf numFmtId="0" fontId="2" fillId="0" borderId="3" xfId="0" applyFont="1" applyBorder="1"/>
    <xf numFmtId="165" fontId="2" fillId="0" borderId="3" xfId="0" applyNumberFormat="1" applyFont="1" applyBorder="1" applyAlignment="1">
      <alignment horizontal="center"/>
    </xf>
    <xf numFmtId="168" fontId="2" fillId="0" borderId="3" xfId="1" applyNumberFormat="1" applyFont="1" applyBorder="1" applyAlignment="1">
      <alignment horizontal="center"/>
    </xf>
    <xf numFmtId="166" fontId="2" fillId="0" borderId="3" xfId="0" applyNumberFormat="1" applyFont="1" applyBorder="1" applyAlignment="1">
      <alignment horizontal="center"/>
    </xf>
    <xf numFmtId="166" fontId="2" fillId="2" borderId="0" xfId="0" applyNumberFormat="1" applyFont="1" applyFill="1" applyBorder="1" applyAlignment="1">
      <alignment horizontal="center"/>
    </xf>
    <xf numFmtId="168" fontId="2" fillId="0" borderId="7" xfId="1" applyNumberFormat="1" applyFont="1" applyBorder="1" applyAlignment="1">
      <alignment horizontal="center"/>
    </xf>
    <xf numFmtId="168" fontId="2" fillId="0" borderId="3" xfId="0" applyNumberFormat="1" applyFont="1" applyBorder="1" applyAlignment="1">
      <alignment horizontal="center"/>
    </xf>
    <xf numFmtId="168" fontId="2" fillId="0" borderId="7" xfId="0" applyNumberFormat="1" applyFont="1" applyBorder="1" applyAlignment="1">
      <alignment horizontal="center"/>
    </xf>
    <xf numFmtId="0" fontId="3" fillId="9" borderId="1" xfId="0" applyFont="1" applyFill="1" applyBorder="1"/>
    <xf numFmtId="168" fontId="3" fillId="9" borderId="1" xfId="0" applyNumberFormat="1" applyFont="1" applyFill="1" applyBorder="1" applyAlignment="1">
      <alignment horizontal="center"/>
    </xf>
    <xf numFmtId="9" fontId="3" fillId="9" borderId="1" xfId="0" applyNumberFormat="1" applyFont="1" applyFill="1" applyBorder="1" applyAlignment="1">
      <alignment horizontal="center"/>
    </xf>
    <xf numFmtId="168" fontId="3" fillId="9" borderId="2" xfId="0" applyNumberFormat="1" applyFont="1" applyFill="1" applyBorder="1" applyAlignment="1">
      <alignment horizontal="center"/>
    </xf>
    <xf numFmtId="166" fontId="3" fillId="9" borderId="2" xfId="0" applyNumberFormat="1" applyFont="1" applyFill="1" applyBorder="1" applyAlignment="1">
      <alignment horizontal="center"/>
    </xf>
    <xf numFmtId="0" fontId="3" fillId="9" borderId="2" xfId="0" applyFont="1" applyFill="1" applyBorder="1"/>
    <xf numFmtId="0" fontId="2" fillId="9" borderId="8" xfId="0" applyFont="1" applyFill="1" applyBorder="1"/>
    <xf numFmtId="168" fontId="3" fillId="9" borderId="9" xfId="0" applyNumberFormat="1" applyFont="1" applyFill="1" applyBorder="1" applyAlignment="1">
      <alignment horizontal="center"/>
    </xf>
    <xf numFmtId="165" fontId="3" fillId="9" borderId="2" xfId="0" applyNumberFormat="1" applyFont="1" applyFill="1" applyBorder="1" applyAlignment="1">
      <alignment horizontal="center"/>
    </xf>
    <xf numFmtId="0" fontId="2" fillId="9" borderId="11" xfId="0" applyFont="1" applyFill="1" applyBorder="1"/>
    <xf numFmtId="165" fontId="3" fillId="9" borderId="12" xfId="0" applyNumberFormat="1" applyFont="1" applyFill="1" applyBorder="1" applyAlignment="1">
      <alignment horizontal="center"/>
    </xf>
    <xf numFmtId="168" fontId="3" fillId="9" borderId="12" xfId="0" applyNumberFormat="1" applyFont="1" applyFill="1" applyBorder="1" applyAlignment="1">
      <alignment horizontal="center"/>
    </xf>
    <xf numFmtId="165" fontId="2" fillId="0" borderId="14" xfId="0" applyNumberFormat="1" applyFont="1" applyBorder="1" applyAlignment="1">
      <alignment horizontal="center"/>
    </xf>
    <xf numFmtId="168" fontId="3" fillId="9" borderId="2" xfId="1" applyNumberFormat="1" applyFont="1" applyFill="1" applyBorder="1" applyAlignment="1">
      <alignment horizontal="center"/>
    </xf>
    <xf numFmtId="168" fontId="3" fillId="9" borderId="10" xfId="1" applyNumberFormat="1" applyFont="1" applyFill="1" applyBorder="1" applyAlignment="1">
      <alignment horizontal="center"/>
    </xf>
    <xf numFmtId="168" fontId="3" fillId="9" borderId="4" xfId="1" applyNumberFormat="1" applyFont="1" applyFill="1" applyBorder="1" applyAlignment="1">
      <alignment horizontal="center"/>
    </xf>
    <xf numFmtId="168" fontId="3" fillId="9" borderId="13" xfId="1" applyNumberFormat="1" applyFont="1" applyFill="1" applyBorder="1" applyAlignment="1">
      <alignment horizontal="center"/>
    </xf>
    <xf numFmtId="168" fontId="3" fillId="9" borderId="1" xfId="1" applyNumberFormat="1" applyFont="1" applyFill="1" applyBorder="1" applyAlignment="1">
      <alignment horizontal="center"/>
    </xf>
    <xf numFmtId="0" fontId="2" fillId="10" borderId="3" xfId="0" applyFont="1" applyFill="1" applyBorder="1"/>
    <xf numFmtId="165" fontId="2" fillId="10" borderId="3" xfId="0" applyNumberFormat="1" applyFont="1" applyFill="1" applyBorder="1" applyAlignment="1">
      <alignment horizontal="center"/>
    </xf>
    <xf numFmtId="168" fontId="2" fillId="10" borderId="3" xfId="1" applyNumberFormat="1" applyFont="1" applyFill="1" applyBorder="1" applyAlignment="1">
      <alignment horizontal="center"/>
    </xf>
    <xf numFmtId="166" fontId="2" fillId="10" borderId="3" xfId="0" applyNumberFormat="1" applyFont="1" applyFill="1" applyBorder="1" applyAlignment="1">
      <alignment horizontal="center"/>
    </xf>
    <xf numFmtId="168" fontId="2" fillId="10" borderId="3" xfId="0" applyNumberFormat="1" applyFont="1" applyFill="1" applyBorder="1" applyAlignment="1">
      <alignment horizontal="center"/>
    </xf>
    <xf numFmtId="0" fontId="3" fillId="9" borderId="1" xfId="0" applyFont="1" applyFill="1" applyBorder="1" applyAlignment="1"/>
    <xf numFmtId="168" fontId="2" fillId="0" borderId="1" xfId="1" applyNumberFormat="1" applyFont="1" applyBorder="1" applyAlignment="1">
      <alignment horizontal="center"/>
    </xf>
    <xf numFmtId="166" fontId="2" fillId="0" borderId="1" xfId="0" applyNumberFormat="1" applyFont="1" applyBorder="1" applyAlignment="1">
      <alignment horizontal="center"/>
    </xf>
    <xf numFmtId="168" fontId="2" fillId="0" borderId="1" xfId="0" applyNumberFormat="1" applyFont="1" applyBorder="1" applyAlignment="1">
      <alignment horizontal="center"/>
    </xf>
    <xf numFmtId="0" fontId="3" fillId="11" borderId="1" xfId="0" applyFont="1" applyFill="1" applyBorder="1" applyAlignment="1"/>
    <xf numFmtId="165" fontId="3" fillId="11" borderId="1" xfId="0" applyNumberFormat="1" applyFont="1" applyFill="1" applyBorder="1" applyAlignment="1">
      <alignment horizontal="center"/>
    </xf>
    <xf numFmtId="168" fontId="3" fillId="11" borderId="1" xfId="0" applyNumberFormat="1" applyFont="1" applyFill="1" applyBorder="1" applyAlignment="1">
      <alignment horizontal="center"/>
    </xf>
    <xf numFmtId="166" fontId="3" fillId="11" borderId="1" xfId="0" applyNumberFormat="1" applyFont="1" applyFill="1" applyBorder="1" applyAlignment="1">
      <alignment horizontal="center"/>
    </xf>
    <xf numFmtId="0" fontId="6" fillId="0" borderId="0" xfId="0" applyFont="1"/>
    <xf numFmtId="0" fontId="9" fillId="4" borderId="0" xfId="0" applyNumberFormat="1" applyFont="1" applyFill="1" applyBorder="1" applyAlignment="1" applyProtection="1">
      <alignment horizontal="center" vertical="center"/>
    </xf>
    <xf numFmtId="0" fontId="9" fillId="4" borderId="0" xfId="0" applyNumberFormat="1" applyFont="1" applyFill="1" applyBorder="1" applyAlignment="1" applyProtection="1">
      <alignment horizontal="center" vertical="center" wrapText="1"/>
    </xf>
    <xf numFmtId="0" fontId="10" fillId="2" borderId="0" xfId="0" applyNumberFormat="1" applyFont="1" applyFill="1" applyBorder="1" applyAlignment="1" applyProtection="1">
      <alignment horizontal="center" vertical="center" wrapText="1"/>
    </xf>
    <xf numFmtId="43" fontId="10" fillId="2" borderId="0" xfId="2" applyFont="1" applyFill="1" applyBorder="1" applyAlignment="1" applyProtection="1">
      <alignment horizontal="center" vertical="center" wrapText="1"/>
    </xf>
    <xf numFmtId="0" fontId="11" fillId="3" borderId="0" xfId="0" applyNumberFormat="1" applyFont="1" applyFill="1" applyBorder="1" applyAlignment="1" applyProtection="1">
      <alignment horizontal="center" vertical="center" wrapText="1"/>
    </xf>
    <xf numFmtId="0" fontId="12" fillId="7" borderId="0" xfId="0" applyNumberFormat="1" applyFont="1" applyFill="1" applyBorder="1" applyAlignment="1" applyProtection="1">
      <alignment horizontal="center" vertical="center" wrapText="1"/>
    </xf>
    <xf numFmtId="0" fontId="11" fillId="3" borderId="0" xfId="0" applyFont="1" applyFill="1" applyBorder="1" applyAlignment="1">
      <alignment horizontal="center" vertical="center" wrapText="1"/>
    </xf>
    <xf numFmtId="0" fontId="13" fillId="6" borderId="0" xfId="0" applyFont="1" applyFill="1" applyBorder="1" applyAlignment="1">
      <alignment horizontal="center" vertical="center" wrapText="1"/>
    </xf>
    <xf numFmtId="0" fontId="14" fillId="2" borderId="0" xfId="0" applyFont="1" applyFill="1" applyBorder="1" applyAlignment="1">
      <alignment horizontal="center" vertical="center" wrapText="1"/>
    </xf>
    <xf numFmtId="0" fontId="15" fillId="0" borderId="0" xfId="0" applyFont="1"/>
    <xf numFmtId="44" fontId="15" fillId="0" borderId="0" xfId="3" applyFont="1" applyFill="1"/>
    <xf numFmtId="164" fontId="10" fillId="2" borderId="0" xfId="0" applyNumberFormat="1" applyFont="1" applyFill="1" applyBorder="1" applyAlignment="1" applyProtection="1">
      <alignment horizontal="right" vertical="center"/>
    </xf>
    <xf numFmtId="44" fontId="11" fillId="3" borderId="0" xfId="3" applyFont="1" applyFill="1" applyBorder="1" applyAlignment="1" applyProtection="1">
      <alignment horizontal="center" vertical="center" wrapText="1"/>
    </xf>
    <xf numFmtId="4" fontId="12" fillId="7" borderId="0" xfId="0" applyNumberFormat="1" applyFont="1" applyFill="1" applyBorder="1" applyAlignment="1" applyProtection="1">
      <alignment vertical="center"/>
    </xf>
    <xf numFmtId="44" fontId="13" fillId="6" borderId="0" xfId="3" applyFont="1" applyFill="1" applyBorder="1" applyAlignment="1">
      <alignment horizontal="center" vertical="center" wrapText="1"/>
    </xf>
    <xf numFmtId="10" fontId="15" fillId="0" borderId="0" xfId="1" applyNumberFormat="1" applyFont="1"/>
    <xf numFmtId="43" fontId="15" fillId="0" borderId="0" xfId="0" applyNumberFormat="1" applyFont="1"/>
    <xf numFmtId="164" fontId="15" fillId="0" borderId="0" xfId="0" applyNumberFormat="1" applyFont="1"/>
    <xf numFmtId="169" fontId="15" fillId="0" borderId="0" xfId="0" applyNumberFormat="1" applyFont="1"/>
    <xf numFmtId="43" fontId="15" fillId="0" borderId="0" xfId="2" applyFont="1"/>
    <xf numFmtId="44" fontId="15" fillId="0" borderId="0" xfId="3" applyFont="1"/>
    <xf numFmtId="10" fontId="15" fillId="0" borderId="0" xfId="1" applyNumberFormat="1" applyFont="1" applyAlignment="1">
      <alignment horizontal="center"/>
    </xf>
    <xf numFmtId="44" fontId="15" fillId="0" borderId="0" xfId="0" applyNumberFormat="1" applyFont="1"/>
    <xf numFmtId="0" fontId="15" fillId="0" borderId="0" xfId="0" applyFont="1" applyAlignment="1">
      <alignment horizontal="center"/>
    </xf>
    <xf numFmtId="9" fontId="9" fillId="4" borderId="0" xfId="1" applyFont="1" applyFill="1" applyBorder="1" applyAlignment="1" applyProtection="1">
      <alignment horizontal="center" vertical="center" wrapText="1"/>
    </xf>
    <xf numFmtId="4" fontId="10" fillId="2" borderId="0" xfId="0" applyNumberFormat="1" applyFont="1" applyFill="1" applyBorder="1" applyAlignment="1" applyProtection="1">
      <alignment horizontal="center" vertical="center"/>
    </xf>
    <xf numFmtId="4" fontId="10" fillId="2" borderId="0" xfId="2" applyNumberFormat="1" applyFont="1" applyFill="1" applyBorder="1" applyAlignment="1" applyProtection="1">
      <alignment horizontal="center"/>
    </xf>
    <xf numFmtId="0" fontId="8" fillId="4" borderId="0" xfId="0" applyFont="1" applyFill="1" applyAlignment="1">
      <alignment horizontal="center"/>
    </xf>
    <xf numFmtId="170" fontId="10" fillId="2" borderId="0" xfId="0" applyNumberFormat="1" applyFont="1" applyFill="1" applyBorder="1" applyAlignment="1" applyProtection="1">
      <alignment horizontal="center" vertical="center"/>
    </xf>
    <xf numFmtId="14" fontId="15" fillId="0" borderId="0" xfId="0" applyNumberFormat="1" applyFont="1"/>
    <xf numFmtId="10" fontId="15" fillId="0" borderId="0" xfId="0" applyNumberFormat="1" applyFont="1"/>
    <xf numFmtId="44" fontId="0" fillId="0" borderId="0" xfId="0" applyNumberFormat="1"/>
    <xf numFmtId="44" fontId="0" fillId="0" borderId="0" xfId="3" applyFont="1"/>
    <xf numFmtId="0" fontId="0" fillId="6" borderId="0" xfId="0" applyFill="1"/>
    <xf numFmtId="44" fontId="0" fillId="6" borderId="0" xfId="0" applyNumberFormat="1" applyFill="1"/>
    <xf numFmtId="44" fontId="0" fillId="6" borderId="0" xfId="3" applyFont="1" applyFill="1"/>
    <xf numFmtId="165" fontId="0" fillId="0" borderId="0" xfId="0" applyNumberFormat="1"/>
    <xf numFmtId="10" fontId="0" fillId="0" borderId="0" xfId="1" applyNumberFormat="1" applyFont="1"/>
    <xf numFmtId="0" fontId="0" fillId="13" borderId="0" xfId="0" applyFill="1"/>
    <xf numFmtId="0" fontId="13" fillId="13" borderId="0" xfId="0" applyFont="1" applyFill="1" applyBorder="1" applyAlignment="1">
      <alignment horizontal="center" vertical="center" wrapText="1"/>
    </xf>
    <xf numFmtId="165" fontId="2" fillId="2" borderId="3" xfId="0" applyNumberFormat="1" applyFont="1" applyFill="1" applyBorder="1" applyAlignment="1">
      <alignment horizontal="center"/>
    </xf>
    <xf numFmtId="168" fontId="2" fillId="2" borderId="3" xfId="1" applyNumberFormat="1" applyFont="1" applyFill="1" applyBorder="1" applyAlignment="1">
      <alignment horizontal="center"/>
    </xf>
    <xf numFmtId="166" fontId="2" fillId="2" borderId="3" xfId="0" applyNumberFormat="1" applyFont="1" applyFill="1" applyBorder="1" applyAlignment="1">
      <alignment horizontal="center"/>
    </xf>
    <xf numFmtId="9" fontId="3" fillId="9" borderId="3" xfId="0" applyNumberFormat="1" applyFont="1" applyFill="1" applyBorder="1" applyAlignment="1">
      <alignment horizontal="center"/>
    </xf>
    <xf numFmtId="166" fontId="3" fillId="9" borderId="3" xfId="0" applyNumberFormat="1" applyFont="1" applyFill="1" applyBorder="1" applyAlignment="1">
      <alignment horizontal="center"/>
    </xf>
    <xf numFmtId="168" fontId="2" fillId="2" borderId="3" xfId="0" applyNumberFormat="1" applyFont="1" applyFill="1" applyBorder="1" applyAlignment="1">
      <alignment horizontal="center"/>
    </xf>
    <xf numFmtId="44" fontId="3" fillId="13" borderId="0" xfId="0" applyNumberFormat="1" applyFont="1" applyFill="1"/>
    <xf numFmtId="10" fontId="0" fillId="6" borderId="0" xfId="1" applyNumberFormat="1" applyFont="1" applyFill="1"/>
    <xf numFmtId="44" fontId="0" fillId="0" borderId="0" xfId="3" applyNumberFormat="1" applyFont="1"/>
    <xf numFmtId="10" fontId="3" fillId="13" borderId="0" xfId="1" applyNumberFormat="1" applyFont="1" applyFill="1"/>
    <xf numFmtId="0" fontId="19" fillId="12" borderId="0" xfId="0" applyFont="1" applyFill="1"/>
    <xf numFmtId="0" fontId="13" fillId="12" borderId="0" xfId="0" applyNumberFormat="1" applyFont="1" applyFill="1" applyBorder="1" applyAlignment="1" applyProtection="1">
      <alignment horizontal="center" vertical="center" wrapText="1"/>
    </xf>
    <xf numFmtId="0" fontId="17" fillId="12" borderId="0" xfId="0" applyFont="1" applyFill="1" applyBorder="1" applyAlignment="1">
      <alignment horizontal="left"/>
    </xf>
    <xf numFmtId="0" fontId="18" fillId="12" borderId="0" xfId="0" applyFont="1" applyFill="1" applyBorder="1" applyAlignment="1">
      <alignment horizontal="center" vertical="center"/>
    </xf>
    <xf numFmtId="0" fontId="13" fillId="12" borderId="0" xfId="0" applyFont="1" applyFill="1" applyBorder="1" applyAlignment="1">
      <alignment horizontal="center" vertical="center" wrapText="1"/>
    </xf>
    <xf numFmtId="44" fontId="20" fillId="12" borderId="0" xfId="3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 wrapText="1"/>
    </xf>
    <xf numFmtId="0" fontId="2" fillId="2" borderId="3" xfId="0" applyFont="1" applyFill="1" applyBorder="1"/>
    <xf numFmtId="171" fontId="0" fillId="6" borderId="0" xfId="0" applyNumberFormat="1" applyFill="1"/>
    <xf numFmtId="165" fontId="2" fillId="6" borderId="3" xfId="0" applyNumberFormat="1" applyFont="1" applyFill="1" applyBorder="1" applyAlignment="1">
      <alignment horizontal="center"/>
    </xf>
    <xf numFmtId="171" fontId="0" fillId="0" borderId="0" xfId="3" applyNumberFormat="1" applyFont="1"/>
    <xf numFmtId="10" fontId="0" fillId="0" borderId="0" xfId="0" applyNumberFormat="1"/>
    <xf numFmtId="9" fontId="0" fillId="0" borderId="0" xfId="0" applyNumberFormat="1"/>
    <xf numFmtId="3" fontId="15" fillId="0" borderId="0" xfId="2" applyNumberFormat="1" applyFont="1" applyAlignment="1" applyProtection="1">
      <alignment horizontal="center" vertical="center"/>
      <protection locked="0"/>
    </xf>
    <xf numFmtId="44" fontId="5" fillId="8" borderId="1" xfId="3" applyFont="1" applyFill="1" applyBorder="1" applyAlignment="1"/>
    <xf numFmtId="43" fontId="5" fillId="8" borderId="1" xfId="2" applyFont="1" applyFill="1" applyBorder="1" applyAlignment="1"/>
    <xf numFmtId="44" fontId="21" fillId="8" borderId="1" xfId="3" applyFont="1" applyFill="1" applyBorder="1" applyAlignment="1"/>
    <xf numFmtId="165" fontId="3" fillId="9" borderId="6" xfId="0" applyNumberFormat="1" applyFont="1" applyFill="1" applyBorder="1" applyAlignment="1">
      <alignment horizontal="center"/>
    </xf>
    <xf numFmtId="168" fontId="3" fillId="9" borderId="6" xfId="0" applyNumberFormat="1" applyFont="1" applyFill="1" applyBorder="1" applyAlignment="1">
      <alignment horizontal="center"/>
    </xf>
    <xf numFmtId="165" fontId="2" fillId="2" borderId="0" xfId="0" applyNumberFormat="1" applyFont="1" applyFill="1"/>
    <xf numFmtId="44" fontId="23" fillId="0" borderId="0" xfId="3" applyFont="1"/>
    <xf numFmtId="164" fontId="13" fillId="6" borderId="0" xfId="3" applyNumberFormat="1" applyFont="1" applyFill="1" applyBorder="1" applyAlignment="1">
      <alignment horizontal="center" vertical="center" wrapText="1"/>
    </xf>
    <xf numFmtId="164" fontId="11" fillId="3" borderId="0" xfId="3" applyNumberFormat="1" applyFont="1" applyFill="1" applyBorder="1" applyAlignment="1" applyProtection="1">
      <alignment horizontal="center" vertical="center" wrapText="1"/>
    </xf>
    <xf numFmtId="164" fontId="5" fillId="8" borderId="6" xfId="3" applyNumberFormat="1" applyFont="1" applyFill="1" applyBorder="1" applyAlignment="1"/>
    <xf numFmtId="0" fontId="3" fillId="9" borderId="0" xfId="0" applyFont="1" applyFill="1" applyBorder="1"/>
    <xf numFmtId="0" fontId="2" fillId="0" borderId="0" xfId="0" applyFont="1" applyBorder="1"/>
    <xf numFmtId="0" fontId="2" fillId="9" borderId="0" xfId="0" applyFont="1" applyFill="1" applyBorder="1"/>
    <xf numFmtId="0" fontId="3" fillId="9" borderId="0" xfId="0" applyFont="1" applyFill="1" applyBorder="1" applyAlignment="1">
      <alignment horizontal="left"/>
    </xf>
    <xf numFmtId="0" fontId="2" fillId="0" borderId="0" xfId="0" applyFont="1" applyBorder="1" applyAlignment="1">
      <alignment horizontal="left"/>
    </xf>
    <xf numFmtId="0" fontId="3" fillId="9" borderId="0" xfId="0" applyFont="1" applyFill="1" applyBorder="1" applyAlignment="1">
      <alignment horizontal="left" vertical="center"/>
    </xf>
    <xf numFmtId="0" fontId="2" fillId="10" borderId="0" xfId="0" applyFont="1" applyFill="1" applyBorder="1"/>
    <xf numFmtId="0" fontId="2" fillId="0" borderId="0" xfId="0" applyFont="1" applyBorder="1" applyAlignment="1">
      <alignment horizontal="left" wrapText="1"/>
    </xf>
    <xf numFmtId="0" fontId="3" fillId="9" borderId="0" xfId="0" applyFont="1" applyFill="1" applyBorder="1" applyAlignment="1"/>
    <xf numFmtId="0" fontId="3" fillId="11" borderId="0" xfId="0" applyFont="1" applyFill="1" applyBorder="1" applyAlignment="1"/>
    <xf numFmtId="44" fontId="15" fillId="6" borderId="0" xfId="3" applyFont="1" applyFill="1"/>
    <xf numFmtId="0" fontId="14" fillId="0" borderId="0" xfId="0" applyNumberFormat="1" applyFont="1" applyFill="1" applyBorder="1" applyAlignment="1" applyProtection="1">
      <alignment horizontal="center" vertical="center" wrapText="1"/>
    </xf>
    <xf numFmtId="4" fontId="14" fillId="0" borderId="0" xfId="0" applyNumberFormat="1" applyFont="1" applyFill="1" applyBorder="1" applyAlignment="1" applyProtection="1">
      <alignment vertical="center"/>
    </xf>
    <xf numFmtId="0" fontId="19" fillId="0" borderId="0" xfId="0" applyFont="1" applyFill="1"/>
    <xf numFmtId="0" fontId="15" fillId="0" borderId="0" xfId="0" applyFont="1" applyProtection="1"/>
    <xf numFmtId="14" fontId="0" fillId="0" borderId="0" xfId="0" applyNumberFormat="1"/>
    <xf numFmtId="44" fontId="0" fillId="0" borderId="0" xfId="3" applyFont="1" applyFill="1" applyBorder="1"/>
    <xf numFmtId="9" fontId="0" fillId="0" borderId="0" xfId="1" applyFont="1"/>
    <xf numFmtId="0" fontId="15" fillId="5" borderId="0" xfId="0" applyFont="1" applyFill="1" applyAlignment="1">
      <alignment horizontal="center"/>
    </xf>
    <xf numFmtId="4" fontId="5" fillId="8" borderId="6" xfId="0" applyNumberFormat="1" applyFont="1" applyFill="1" applyBorder="1" applyAlignment="1">
      <alignment horizontal="right"/>
    </xf>
    <xf numFmtId="4" fontId="5" fillId="8" borderId="15" xfId="0" applyNumberFormat="1" applyFont="1" applyFill="1" applyBorder="1" applyAlignment="1">
      <alignment horizontal="right"/>
    </xf>
    <xf numFmtId="4" fontId="5" fillId="8" borderId="5" xfId="0" applyNumberFormat="1" applyFont="1" applyFill="1" applyBorder="1" applyAlignment="1">
      <alignment horizontal="right"/>
    </xf>
    <xf numFmtId="0" fontId="18" fillId="12" borderId="1" xfId="0" applyFont="1" applyFill="1" applyBorder="1" applyAlignment="1">
      <alignment horizontal="center" vertical="center"/>
    </xf>
    <xf numFmtId="3" fontId="5" fillId="8" borderId="1" xfId="0" applyNumberFormat="1" applyFont="1" applyFill="1" applyBorder="1" applyAlignment="1">
      <alignment horizontal="right"/>
    </xf>
    <xf numFmtId="167" fontId="2" fillId="2" borderId="1" xfId="2" applyNumberFormat="1" applyFont="1" applyFill="1" applyBorder="1" applyAlignment="1">
      <alignment horizontal="right"/>
    </xf>
    <xf numFmtId="43" fontId="2" fillId="2" borderId="1" xfId="2" applyNumberFormat="1" applyFont="1" applyFill="1" applyBorder="1" applyAlignment="1">
      <alignment horizontal="right"/>
    </xf>
    <xf numFmtId="3" fontId="5" fillId="8" borderId="6" xfId="0" applyNumberFormat="1" applyFont="1" applyFill="1" applyBorder="1" applyAlignment="1">
      <alignment horizontal="right"/>
    </xf>
    <xf numFmtId="3" fontId="5" fillId="8" borderId="15" xfId="0" applyNumberFormat="1" applyFont="1" applyFill="1" applyBorder="1" applyAlignment="1">
      <alignment horizontal="right"/>
    </xf>
    <xf numFmtId="3" fontId="5" fillId="8" borderId="5" xfId="0" applyNumberFormat="1" applyFont="1" applyFill="1" applyBorder="1" applyAlignment="1">
      <alignment horizontal="right"/>
    </xf>
    <xf numFmtId="3" fontId="5" fillId="0" borderId="6" xfId="0" applyNumberFormat="1" applyFont="1" applyFill="1" applyBorder="1" applyAlignment="1">
      <alignment horizontal="right"/>
    </xf>
    <xf numFmtId="3" fontId="5" fillId="0" borderId="15" xfId="0" applyNumberFormat="1" applyFont="1" applyFill="1" applyBorder="1" applyAlignment="1">
      <alignment horizontal="right"/>
    </xf>
    <xf numFmtId="3" fontId="5" fillId="0" borderId="5" xfId="0" applyNumberFormat="1" applyFont="1" applyFill="1" applyBorder="1" applyAlignment="1">
      <alignment horizontal="right"/>
    </xf>
    <xf numFmtId="167" fontId="2" fillId="2" borderId="6" xfId="2" applyNumberFormat="1" applyFont="1" applyFill="1" applyBorder="1" applyAlignment="1">
      <alignment horizontal="right"/>
    </xf>
    <xf numFmtId="167" fontId="2" fillId="2" borderId="15" xfId="2" applyNumberFormat="1" applyFont="1" applyFill="1" applyBorder="1" applyAlignment="1">
      <alignment horizontal="right"/>
    </xf>
    <xf numFmtId="167" fontId="2" fillId="2" borderId="5" xfId="2" applyNumberFormat="1" applyFont="1" applyFill="1" applyBorder="1" applyAlignment="1">
      <alignment horizontal="right"/>
    </xf>
    <xf numFmtId="43" fontId="2" fillId="2" borderId="6" xfId="2" applyNumberFormat="1" applyFont="1" applyFill="1" applyBorder="1" applyAlignment="1">
      <alignment horizontal="right"/>
    </xf>
    <xf numFmtId="43" fontId="2" fillId="2" borderId="15" xfId="2" applyNumberFormat="1" applyFont="1" applyFill="1" applyBorder="1" applyAlignment="1">
      <alignment horizontal="right"/>
    </xf>
    <xf numFmtId="43" fontId="2" fillId="2" borderId="5" xfId="2" applyNumberFormat="1" applyFont="1" applyFill="1" applyBorder="1" applyAlignment="1">
      <alignment horizontal="right"/>
    </xf>
    <xf numFmtId="44" fontId="2" fillId="2" borderId="6" xfId="3" applyFont="1" applyFill="1" applyBorder="1" applyAlignment="1">
      <alignment horizontal="right"/>
    </xf>
    <xf numFmtId="44" fontId="2" fillId="2" borderId="15" xfId="3" applyFont="1" applyFill="1" applyBorder="1" applyAlignment="1">
      <alignment horizontal="right"/>
    </xf>
    <xf numFmtId="44" fontId="2" fillId="2" borderId="5" xfId="3" applyFont="1" applyFill="1" applyBorder="1" applyAlignment="1">
      <alignment horizontal="right"/>
    </xf>
    <xf numFmtId="44" fontId="2" fillId="2" borderId="1" xfId="3" applyFont="1" applyFill="1" applyBorder="1" applyAlignment="1">
      <alignment horizontal="right"/>
    </xf>
    <xf numFmtId="0" fontId="17" fillId="12" borderId="6" xfId="0" applyFont="1" applyFill="1" applyBorder="1" applyAlignment="1">
      <alignment horizontal="center"/>
    </xf>
    <xf numFmtId="0" fontId="17" fillId="12" borderId="5" xfId="0" applyFont="1" applyFill="1" applyBorder="1" applyAlignment="1">
      <alignment horizontal="center"/>
    </xf>
    <xf numFmtId="0" fontId="1" fillId="3" borderId="6" xfId="0" applyFont="1" applyFill="1" applyBorder="1" applyAlignment="1">
      <alignment horizontal="left" vertical="center" wrapText="1"/>
    </xf>
    <xf numFmtId="0" fontId="1" fillId="3" borderId="5" xfId="0" applyFont="1" applyFill="1" applyBorder="1" applyAlignment="1">
      <alignment horizontal="left" vertical="center" wrapText="1"/>
    </xf>
    <xf numFmtId="0" fontId="2" fillId="0" borderId="14" xfId="0" applyFont="1" applyBorder="1" applyAlignment="1">
      <alignment horizontal="left"/>
    </xf>
    <xf numFmtId="0" fontId="2" fillId="0" borderId="7" xfId="0" applyFont="1" applyBorder="1" applyAlignment="1">
      <alignment horizontal="left"/>
    </xf>
    <xf numFmtId="0" fontId="2" fillId="0" borderId="12" xfId="0" applyFont="1" applyBorder="1" applyAlignment="1">
      <alignment horizontal="left" wrapText="1"/>
    </xf>
    <xf numFmtId="0" fontId="2" fillId="0" borderId="13" xfId="0" applyFont="1" applyBorder="1" applyAlignment="1">
      <alignment horizontal="left" wrapText="1"/>
    </xf>
    <xf numFmtId="0" fontId="2" fillId="0" borderId="1" xfId="0" applyFont="1" applyBorder="1" applyAlignment="1">
      <alignment horizontal="left"/>
    </xf>
    <xf numFmtId="0" fontId="3" fillId="9" borderId="1" xfId="0" applyFont="1" applyFill="1" applyBorder="1" applyAlignment="1">
      <alignment horizontal="left" vertical="center"/>
    </xf>
    <xf numFmtId="0" fontId="2" fillId="0" borderId="2" xfId="0" applyFont="1" applyFill="1" applyBorder="1" applyAlignment="1">
      <alignment horizontal="center" vertical="center" wrapText="1"/>
    </xf>
    <xf numFmtId="0" fontId="2" fillId="0" borderId="3" xfId="0" applyFont="1" applyFill="1" applyBorder="1" applyAlignment="1">
      <alignment horizontal="center" vertical="center" wrapText="1"/>
    </xf>
    <xf numFmtId="0" fontId="2" fillId="0" borderId="4" xfId="0" applyFont="1" applyFill="1" applyBorder="1" applyAlignment="1">
      <alignment horizontal="center" vertical="center" wrapText="1"/>
    </xf>
    <xf numFmtId="0" fontId="3" fillId="9" borderId="1" xfId="0" applyFont="1" applyFill="1" applyBorder="1" applyAlignment="1">
      <alignment horizontal="left"/>
    </xf>
    <xf numFmtId="0" fontId="2" fillId="0" borderId="9" xfId="0" applyFont="1" applyBorder="1" applyAlignment="1">
      <alignment horizontal="left"/>
    </xf>
    <xf numFmtId="0" fontId="2" fillId="0" borderId="10" xfId="0" applyFont="1" applyBorder="1" applyAlignment="1">
      <alignment horizontal="left"/>
    </xf>
    <xf numFmtId="0" fontId="7" fillId="3" borderId="6" xfId="0" applyFont="1" applyFill="1" applyBorder="1" applyAlignment="1">
      <alignment horizontal="center"/>
    </xf>
    <xf numFmtId="0" fontId="7" fillId="3" borderId="5" xfId="0" applyFont="1" applyFill="1" applyBorder="1" applyAlignment="1">
      <alignment horizontal="center"/>
    </xf>
    <xf numFmtId="0" fontId="16" fillId="3" borderId="1" xfId="0" applyFont="1" applyFill="1" applyBorder="1" applyAlignment="1">
      <alignment horizontal="center" vertical="center"/>
    </xf>
    <xf numFmtId="44" fontId="5" fillId="8" borderId="1" xfId="3" applyFont="1" applyFill="1" applyBorder="1" applyAlignment="1">
      <alignment horizontal="right"/>
    </xf>
    <xf numFmtId="3" fontId="5" fillId="0" borderId="1" xfId="0" applyNumberFormat="1" applyFont="1" applyFill="1" applyBorder="1" applyAlignment="1">
      <alignment horizontal="right"/>
    </xf>
    <xf numFmtId="0" fontId="22" fillId="3" borderId="1" xfId="0" applyFont="1" applyFill="1" applyBorder="1" applyAlignment="1">
      <alignment horizontal="center" vertical="center"/>
    </xf>
    <xf numFmtId="164" fontId="5" fillId="8" borderId="6" xfId="3" applyNumberFormat="1" applyFont="1" applyFill="1" applyBorder="1" applyAlignment="1">
      <alignment horizontal="right"/>
    </xf>
    <xf numFmtId="164" fontId="5" fillId="8" borderId="15" xfId="3" applyNumberFormat="1" applyFont="1" applyFill="1" applyBorder="1" applyAlignment="1">
      <alignment horizontal="right"/>
    </xf>
    <xf numFmtId="164" fontId="5" fillId="8" borderId="5" xfId="3" applyNumberFormat="1" applyFont="1" applyFill="1" applyBorder="1" applyAlignment="1">
      <alignment horizontal="right"/>
    </xf>
  </cellXfs>
  <cellStyles count="6">
    <cellStyle name="Millares" xfId="2" builtinId="3"/>
    <cellStyle name="Millares 2" xfId="5"/>
    <cellStyle name="Moneda" xfId="3" builtinId="4"/>
    <cellStyle name="Normal" xfId="0" builtinId="0"/>
    <cellStyle name="Normal 2" xfId="4"/>
    <cellStyle name="Porcentaje" xfId="1" builtinId="5"/>
  </cellStyles>
  <dxfs count="12"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obertomartineze/Library/Containers/com.apple.mail/Data/Library/Mail%20Downloads/FBBB94E6-D63A-4634-98A7-FD3AA40A7AC9/respaldo%20cesar%20faz/usuario/Desktop/Fletes%20Faz/Operaci&#243;n/Costeo/Costeo%20Fletes%20Faz%20WM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00%20Archivos%20Excel\Cotizador\Cotizador%20Final%20CODA%2015012016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steo MC"/>
      <sheetName val="Hoja2"/>
      <sheetName val="Hoja3"/>
    </sheetNames>
    <sheetDataSet>
      <sheetData sheetId="0" refreshError="1"/>
      <sheetData sheetId="1">
        <row r="1">
          <cell r="A1" t="str">
            <v xml:space="preserve">Origen </v>
          </cell>
        </row>
        <row r="2">
          <cell r="A2" t="str">
            <v>Monterrey</v>
          </cell>
        </row>
      </sheetData>
      <sheetData sheetId="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ncillo (2)"/>
      <sheetName val="Hoja2"/>
      <sheetName val="Sencillo"/>
      <sheetName val="Full"/>
    </sheetNames>
    <sheetDataSet>
      <sheetData sheetId="0"/>
      <sheetData sheetId="1" refreshError="1"/>
      <sheetData sheetId="2">
        <row r="5">
          <cell r="K5">
            <v>6.4</v>
          </cell>
        </row>
        <row r="7">
          <cell r="K7">
            <v>115084.8</v>
          </cell>
        </row>
      </sheetData>
      <sheetData sheetId="3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BM153"/>
  <sheetViews>
    <sheetView zoomScaleNormal="100" workbookViewId="0">
      <pane xSplit="2" ySplit="13" topLeftCell="C14" activePane="bottomRight" state="frozen"/>
      <selection pane="topRight" activeCell="C1" sqref="C1"/>
      <selection pane="bottomLeft" activeCell="A14" sqref="A14"/>
      <selection pane="bottomRight" activeCell="BD3" sqref="BD3"/>
    </sheetView>
  </sheetViews>
  <sheetFormatPr baseColWidth="10" defaultRowHeight="15" x14ac:dyDescent="0.25"/>
  <cols>
    <col min="1" max="1" width="16.140625" customWidth="1"/>
    <col min="2" max="2" width="32.7109375" bestFit="1" customWidth="1"/>
    <col min="3" max="3" width="3.7109375" customWidth="1"/>
    <col min="4" max="4" width="18.140625" bestFit="1" customWidth="1"/>
    <col min="5" max="5" width="8.42578125" bestFit="1" customWidth="1"/>
    <col min="6" max="6" width="12.28515625" bestFit="1" customWidth="1"/>
    <col min="7" max="7" width="3.7109375" customWidth="1"/>
    <col min="8" max="8" width="18.140625" bestFit="1" customWidth="1"/>
    <col min="9" max="9" width="8.42578125" bestFit="1" customWidth="1"/>
    <col min="10" max="10" width="12.28515625" bestFit="1" customWidth="1"/>
    <col min="11" max="11" width="3.7109375" customWidth="1"/>
    <col min="12" max="12" width="18.140625" bestFit="1" customWidth="1"/>
    <col min="13" max="13" width="8.42578125" bestFit="1" customWidth="1"/>
    <col min="14" max="14" width="12.28515625" bestFit="1" customWidth="1"/>
    <col min="15" max="15" width="3.7109375" customWidth="1"/>
    <col min="16" max="16" width="18.140625" bestFit="1" customWidth="1"/>
    <col min="17" max="17" width="8.42578125" bestFit="1" customWidth="1"/>
    <col min="18" max="18" width="12.28515625" bestFit="1" customWidth="1"/>
    <col min="19" max="19" width="3.7109375" customWidth="1"/>
    <col min="20" max="20" width="18.140625" bestFit="1" customWidth="1"/>
    <col min="21" max="21" width="8.42578125" bestFit="1" customWidth="1"/>
    <col min="22" max="22" width="12.28515625" bestFit="1" customWidth="1"/>
    <col min="23" max="23" width="3.7109375" customWidth="1"/>
    <col min="24" max="24" width="18.140625" bestFit="1" customWidth="1"/>
    <col min="25" max="25" width="8.42578125" bestFit="1" customWidth="1"/>
    <col min="26" max="26" width="12.28515625" bestFit="1" customWidth="1"/>
    <col min="27" max="27" width="3.7109375" customWidth="1"/>
    <col min="28" max="28" width="18.140625" bestFit="1" customWidth="1"/>
    <col min="29" max="29" width="8.42578125" bestFit="1" customWidth="1"/>
    <col min="30" max="30" width="12.28515625" bestFit="1" customWidth="1"/>
    <col min="31" max="31" width="3.7109375" customWidth="1"/>
    <col min="32" max="32" width="18.140625" bestFit="1" customWidth="1"/>
    <col min="33" max="33" width="8.42578125" bestFit="1" customWidth="1"/>
    <col min="34" max="34" width="12.28515625" bestFit="1" customWidth="1"/>
    <col min="35" max="35" width="3.7109375" customWidth="1"/>
    <col min="36" max="36" width="18.140625" bestFit="1" customWidth="1"/>
    <col min="37" max="37" width="8.42578125" bestFit="1" customWidth="1"/>
    <col min="38" max="38" width="12.28515625" bestFit="1" customWidth="1"/>
    <col min="39" max="39" width="3.7109375" customWidth="1"/>
    <col min="40" max="40" width="18" customWidth="1"/>
    <col min="41" max="41" width="11.42578125" customWidth="1"/>
    <col min="43" max="43" width="3.7109375" customWidth="1"/>
    <col min="44" max="44" width="18" customWidth="1"/>
    <col min="45" max="45" width="11.42578125" customWidth="1"/>
    <col min="47" max="47" width="3.7109375" customWidth="1"/>
    <col min="48" max="48" width="18" customWidth="1"/>
    <col min="49" max="49" width="11.42578125" customWidth="1"/>
    <col min="52" max="52" width="18" customWidth="1"/>
    <col min="56" max="56" width="18" customWidth="1"/>
    <col min="58" max="58" width="12.7109375" customWidth="1"/>
    <col min="60" max="60" width="13.140625" bestFit="1" customWidth="1"/>
    <col min="65" max="65" width="14.5703125" bestFit="1" customWidth="1"/>
  </cols>
  <sheetData>
    <row r="1" spans="1:65" ht="32.25" customHeight="1" x14ac:dyDescent="0.35">
      <c r="A1" s="187" t="s">
        <v>120</v>
      </c>
      <c r="B1" s="188"/>
      <c r="D1" s="189" t="s">
        <v>74</v>
      </c>
      <c r="E1" s="189"/>
      <c r="F1" s="189"/>
      <c r="H1" s="189" t="s">
        <v>173</v>
      </c>
      <c r="I1" s="189"/>
      <c r="J1" s="189"/>
      <c r="L1" s="189" t="s">
        <v>75</v>
      </c>
      <c r="M1" s="189"/>
      <c r="N1" s="189"/>
      <c r="P1" s="189" t="s">
        <v>76</v>
      </c>
      <c r="Q1" s="189"/>
      <c r="R1" s="189"/>
      <c r="T1" s="189" t="s">
        <v>77</v>
      </c>
      <c r="U1" s="189"/>
      <c r="V1" s="189"/>
      <c r="X1" s="189" t="s">
        <v>78</v>
      </c>
      <c r="Y1" s="189"/>
      <c r="Z1" s="189"/>
      <c r="AB1" s="189" t="s">
        <v>117</v>
      </c>
      <c r="AC1" s="189"/>
      <c r="AD1" s="189"/>
      <c r="AF1" s="189" t="s">
        <v>141</v>
      </c>
      <c r="AG1" s="189"/>
      <c r="AH1" s="189"/>
      <c r="AJ1" s="189" t="s">
        <v>144</v>
      </c>
      <c r="AK1" s="189"/>
      <c r="AL1" s="189"/>
      <c r="AN1" s="189" t="s">
        <v>145</v>
      </c>
      <c r="AO1" s="189"/>
      <c r="AP1" s="189"/>
      <c r="AR1" s="189" t="s">
        <v>146</v>
      </c>
      <c r="AS1" s="189"/>
      <c r="AT1" s="189"/>
      <c r="AV1" s="189" t="s">
        <v>147</v>
      </c>
      <c r="AW1" s="189"/>
      <c r="AX1" s="189"/>
      <c r="AZ1" s="189" t="s">
        <v>79</v>
      </c>
      <c r="BA1" s="189"/>
      <c r="BB1" s="189"/>
      <c r="BD1" s="192" t="s">
        <v>157</v>
      </c>
      <c r="BE1" s="192"/>
      <c r="BF1" s="192"/>
      <c r="BK1" s="144">
        <v>43497</v>
      </c>
      <c r="BM1" s="82" t="s">
        <v>128</v>
      </c>
    </row>
    <row r="2" spans="1:65" ht="5.0999999999999996" customHeight="1" x14ac:dyDescent="0.25">
      <c r="BM2" t="s">
        <v>127</v>
      </c>
    </row>
    <row r="3" spans="1:65" ht="18" x14ac:dyDescent="0.25">
      <c r="A3" s="173" t="s">
        <v>172</v>
      </c>
      <c r="B3" s="174"/>
      <c r="D3" s="119">
        <v>17.68</v>
      </c>
      <c r="E3" s="120">
        <v>1.1299999999999999</v>
      </c>
      <c r="F3" s="121">
        <f>+D3*E3</f>
        <v>19.978399999999997</v>
      </c>
      <c r="H3" s="119">
        <v>17.68</v>
      </c>
      <c r="I3" s="120">
        <v>1.1299999999999999</v>
      </c>
      <c r="J3" s="121">
        <f>+H3*I3</f>
        <v>19.978399999999997</v>
      </c>
      <c r="L3" s="119">
        <v>17.68</v>
      </c>
      <c r="M3" s="120">
        <v>1.1299999999999999</v>
      </c>
      <c r="N3" s="121">
        <f>+L3*M3</f>
        <v>19.978399999999997</v>
      </c>
      <c r="P3" s="119">
        <v>17.68</v>
      </c>
      <c r="Q3" s="120">
        <v>1.1299999999999999</v>
      </c>
      <c r="R3" s="121">
        <f>+P3*Q3</f>
        <v>19.978399999999997</v>
      </c>
      <c r="T3" s="119">
        <v>17.68</v>
      </c>
      <c r="U3" s="120">
        <v>1.1299999999999999</v>
      </c>
      <c r="V3" s="121">
        <f>+T3*U3</f>
        <v>19.978399999999997</v>
      </c>
      <c r="X3" s="119">
        <v>17.68</v>
      </c>
      <c r="Y3" s="120">
        <v>1.1299999999999999</v>
      </c>
      <c r="Z3" s="121">
        <f>+X3*Y3</f>
        <v>19.978399999999997</v>
      </c>
      <c r="AB3" s="119">
        <v>17.68</v>
      </c>
      <c r="AC3" s="120">
        <v>1.1299999999999999</v>
      </c>
      <c r="AD3" s="121">
        <f>+AB3*AC3</f>
        <v>19.978399999999997</v>
      </c>
      <c r="AF3" s="190">
        <v>17.68</v>
      </c>
      <c r="AG3" s="190"/>
      <c r="AH3" s="190"/>
      <c r="AJ3" s="190">
        <v>17.91</v>
      </c>
      <c r="AK3" s="190"/>
      <c r="AL3" s="190"/>
      <c r="AN3" s="190"/>
      <c r="AO3" s="190"/>
      <c r="AP3" s="190"/>
      <c r="AR3" s="190"/>
      <c r="AS3" s="190"/>
      <c r="AT3" s="190"/>
      <c r="AV3" s="190"/>
      <c r="AW3" s="190"/>
      <c r="AX3" s="190"/>
      <c r="AZ3" s="190"/>
      <c r="BA3" s="190"/>
      <c r="BB3" s="190"/>
      <c r="BD3" s="128">
        <v>21</v>
      </c>
      <c r="BE3" s="120">
        <f>BF3-BD3</f>
        <v>3.3599999999999994</v>
      </c>
      <c r="BF3" s="121">
        <f>BD3*BI4</f>
        <v>24.36</v>
      </c>
      <c r="BH3" t="s">
        <v>178</v>
      </c>
      <c r="BI3" s="87">
        <f>+BI5*BI4</f>
        <v>23.2</v>
      </c>
      <c r="BJ3" s="87">
        <f>+BJ5*BJ4</f>
        <v>24.36</v>
      </c>
      <c r="BK3" s="87">
        <f>+BK5*BK4</f>
        <v>20.787200000000002</v>
      </c>
      <c r="BM3" t="s">
        <v>129</v>
      </c>
    </row>
    <row r="4" spans="1:65" ht="15.75" x14ac:dyDescent="0.25">
      <c r="A4" s="173" t="s">
        <v>115</v>
      </c>
      <c r="B4" s="174"/>
      <c r="D4" s="190">
        <v>2.1</v>
      </c>
      <c r="E4" s="190"/>
      <c r="F4" s="190"/>
      <c r="H4" s="190">
        <v>2.1</v>
      </c>
      <c r="I4" s="190"/>
      <c r="J4" s="190"/>
      <c r="L4" s="190">
        <v>2.1</v>
      </c>
      <c r="M4" s="190"/>
      <c r="N4" s="190"/>
      <c r="P4" s="190">
        <v>2.1</v>
      </c>
      <c r="Q4" s="190"/>
      <c r="R4" s="190"/>
      <c r="T4" s="190">
        <v>2.1</v>
      </c>
      <c r="U4" s="190"/>
      <c r="V4" s="190"/>
      <c r="X4" s="190">
        <v>2.1</v>
      </c>
      <c r="Y4" s="190"/>
      <c r="Z4" s="190"/>
      <c r="AB4" s="190">
        <v>2.1</v>
      </c>
      <c r="AC4" s="190"/>
      <c r="AD4" s="190"/>
      <c r="AF4" s="190">
        <v>2.1</v>
      </c>
      <c r="AG4" s="190"/>
      <c r="AH4" s="190"/>
      <c r="AJ4" s="190">
        <v>2.1</v>
      </c>
      <c r="AK4" s="190"/>
      <c r="AL4" s="190"/>
      <c r="AN4" s="190"/>
      <c r="AO4" s="190"/>
      <c r="AP4" s="190"/>
      <c r="AR4" s="190"/>
      <c r="AS4" s="190"/>
      <c r="AT4" s="190"/>
      <c r="AV4" s="190"/>
      <c r="AW4" s="190"/>
      <c r="AX4" s="190"/>
      <c r="AZ4" s="190"/>
      <c r="BA4" s="190"/>
      <c r="BB4" s="190"/>
      <c r="BD4" s="193">
        <v>2.1</v>
      </c>
      <c r="BE4" s="194"/>
      <c r="BF4" s="195"/>
      <c r="BH4" t="s">
        <v>177</v>
      </c>
      <c r="BI4">
        <v>1.1599999999999999</v>
      </c>
      <c r="BJ4">
        <v>1.1599999999999999</v>
      </c>
      <c r="BK4">
        <v>1.1599999999999999</v>
      </c>
    </row>
    <row r="5" spans="1:65" ht="15.75" x14ac:dyDescent="0.25">
      <c r="A5" s="173" t="s">
        <v>116</v>
      </c>
      <c r="B5" s="174"/>
      <c r="D5" s="152">
        <v>72</v>
      </c>
      <c r="E5" s="152"/>
      <c r="F5" s="152"/>
      <c r="H5" s="152">
        <v>72</v>
      </c>
      <c r="I5" s="152"/>
      <c r="J5" s="152"/>
      <c r="L5" s="152">
        <v>72</v>
      </c>
      <c r="M5" s="152"/>
      <c r="N5" s="152"/>
      <c r="P5" s="152">
        <v>72</v>
      </c>
      <c r="Q5" s="152"/>
      <c r="R5" s="152"/>
      <c r="T5" s="152">
        <v>72</v>
      </c>
      <c r="U5" s="152"/>
      <c r="V5" s="152"/>
      <c r="X5" s="152">
        <v>72</v>
      </c>
      <c r="Y5" s="152"/>
      <c r="Z5" s="152"/>
      <c r="AB5" s="152">
        <v>72</v>
      </c>
      <c r="AC5" s="152"/>
      <c r="AD5" s="152"/>
      <c r="AF5" s="152">
        <v>72</v>
      </c>
      <c r="AG5" s="152"/>
      <c r="AH5" s="152"/>
      <c r="AJ5" s="152">
        <v>72</v>
      </c>
      <c r="AK5" s="152"/>
      <c r="AL5" s="152"/>
      <c r="AN5" s="152"/>
      <c r="AO5" s="152"/>
      <c r="AP5" s="152"/>
      <c r="AR5" s="152"/>
      <c r="AS5" s="152"/>
      <c r="AT5" s="152"/>
      <c r="AV5" s="152"/>
      <c r="AW5" s="152"/>
      <c r="AX5" s="152"/>
      <c r="AZ5" s="152"/>
      <c r="BA5" s="152"/>
      <c r="BB5" s="152"/>
      <c r="BD5" s="155">
        <v>72</v>
      </c>
      <c r="BE5" s="156"/>
      <c r="BF5" s="157"/>
      <c r="BH5" t="s">
        <v>179</v>
      </c>
      <c r="BI5" s="87">
        <v>20</v>
      </c>
      <c r="BJ5" s="87">
        <v>21</v>
      </c>
      <c r="BK5" s="87">
        <v>17.920000000000002</v>
      </c>
      <c r="BL5" s="145">
        <v>21</v>
      </c>
    </row>
    <row r="6" spans="1:65" ht="15.75" customHeight="1" x14ac:dyDescent="0.25">
      <c r="A6" s="173" t="s">
        <v>171</v>
      </c>
      <c r="B6" s="174"/>
      <c r="D6" s="148">
        <v>1</v>
      </c>
      <c r="E6" s="149"/>
      <c r="F6" s="150"/>
      <c r="H6" s="148">
        <v>1</v>
      </c>
      <c r="I6" s="149"/>
      <c r="J6" s="150"/>
      <c r="L6" s="148">
        <v>1</v>
      </c>
      <c r="M6" s="149"/>
      <c r="N6" s="150"/>
      <c r="P6" s="148">
        <v>1</v>
      </c>
      <c r="Q6" s="149"/>
      <c r="R6" s="150"/>
      <c r="T6" s="148">
        <v>1</v>
      </c>
      <c r="U6" s="149"/>
      <c r="V6" s="150"/>
      <c r="X6" s="148">
        <v>1</v>
      </c>
      <c r="Y6" s="149"/>
      <c r="Z6" s="150"/>
      <c r="AB6" s="148">
        <v>1</v>
      </c>
      <c r="AC6" s="149"/>
      <c r="AD6" s="150"/>
      <c r="AF6" s="148">
        <v>1</v>
      </c>
      <c r="AG6" s="149"/>
      <c r="AH6" s="150"/>
      <c r="AJ6" s="148">
        <v>1</v>
      </c>
      <c r="AK6" s="149"/>
      <c r="AL6" s="150"/>
      <c r="AN6" s="148">
        <v>1</v>
      </c>
      <c r="AO6" s="149"/>
      <c r="AP6" s="150"/>
      <c r="AR6" s="148">
        <v>1</v>
      </c>
      <c r="AS6" s="149"/>
      <c r="AT6" s="150"/>
      <c r="AV6" s="148">
        <v>1</v>
      </c>
      <c r="AW6" s="149"/>
      <c r="AX6" s="150"/>
      <c r="AZ6" s="148">
        <v>1</v>
      </c>
      <c r="BA6" s="149"/>
      <c r="BB6" s="150"/>
      <c r="BD6" s="148">
        <v>1.08</v>
      </c>
      <c r="BE6" s="149"/>
      <c r="BF6" s="150"/>
      <c r="BI6" s="87"/>
      <c r="BJ6" s="87"/>
      <c r="BL6" s="146">
        <f>+BL5/BK5-1</f>
        <v>0.17187499999999978</v>
      </c>
    </row>
    <row r="7" spans="1:65" ht="15.75" x14ac:dyDescent="0.25">
      <c r="A7" s="173" t="s">
        <v>80</v>
      </c>
      <c r="B7" s="174"/>
      <c r="D7" s="152">
        <v>771767</v>
      </c>
      <c r="E7" s="152"/>
      <c r="F7" s="152"/>
      <c r="H7" s="152">
        <v>723632</v>
      </c>
      <c r="I7" s="152"/>
      <c r="J7" s="152"/>
      <c r="K7" s="2"/>
      <c r="L7" s="152">
        <v>905482</v>
      </c>
      <c r="M7" s="152"/>
      <c r="N7" s="152"/>
      <c r="P7" s="155">
        <v>872996.4</v>
      </c>
      <c r="Q7" s="156"/>
      <c r="R7" s="157"/>
      <c r="T7" s="155">
        <v>864686</v>
      </c>
      <c r="U7" s="156"/>
      <c r="V7" s="157"/>
      <c r="X7" s="155">
        <v>885921</v>
      </c>
      <c r="Y7" s="156"/>
      <c r="Z7" s="157"/>
      <c r="AB7" s="152">
        <v>831867</v>
      </c>
      <c r="AC7" s="152"/>
      <c r="AD7" s="152"/>
      <c r="AF7" s="152">
        <v>843635</v>
      </c>
      <c r="AG7" s="152"/>
      <c r="AH7" s="152"/>
      <c r="AJ7" s="152">
        <v>779096</v>
      </c>
      <c r="AK7" s="152"/>
      <c r="AL7" s="152"/>
      <c r="AN7" s="152"/>
      <c r="AO7" s="152"/>
      <c r="AP7" s="152"/>
      <c r="AR7" s="152"/>
      <c r="AS7" s="152"/>
      <c r="AT7" s="152"/>
      <c r="AV7" s="152"/>
      <c r="AW7" s="152"/>
      <c r="AX7" s="152"/>
      <c r="AZ7" s="152">
        <v>7479082.4000000004</v>
      </c>
      <c r="BA7" s="152"/>
      <c r="BB7" s="152"/>
      <c r="BD7" s="155">
        <v>801091.53333333333</v>
      </c>
      <c r="BE7" s="156"/>
      <c r="BF7" s="157"/>
    </row>
    <row r="8" spans="1:65" ht="15.75" x14ac:dyDescent="0.25">
      <c r="A8" s="173" t="s">
        <v>81</v>
      </c>
      <c r="B8" s="174"/>
      <c r="D8" s="152">
        <v>63</v>
      </c>
      <c r="E8" s="152"/>
      <c r="F8" s="152"/>
      <c r="H8" s="152">
        <v>68</v>
      </c>
      <c r="I8" s="152"/>
      <c r="J8" s="152"/>
      <c r="K8" s="2"/>
      <c r="L8" s="152">
        <v>73</v>
      </c>
      <c r="M8" s="152"/>
      <c r="N8" s="152"/>
      <c r="P8" s="158">
        <v>73</v>
      </c>
      <c r="Q8" s="159"/>
      <c r="R8" s="160"/>
      <c r="T8" s="158">
        <v>72</v>
      </c>
      <c r="U8" s="159"/>
      <c r="V8" s="160"/>
      <c r="X8" s="158">
        <v>69</v>
      </c>
      <c r="Y8" s="159"/>
      <c r="Z8" s="160"/>
      <c r="AB8" s="191">
        <v>68</v>
      </c>
      <c r="AC8" s="191"/>
      <c r="AD8" s="191"/>
      <c r="AF8" s="191">
        <v>68</v>
      </c>
      <c r="AG8" s="191"/>
      <c r="AH8" s="191"/>
      <c r="AJ8" s="191">
        <v>69</v>
      </c>
      <c r="AK8" s="191"/>
      <c r="AL8" s="191"/>
      <c r="AN8" s="191"/>
      <c r="AO8" s="191"/>
      <c r="AP8" s="191"/>
      <c r="AR8" s="191"/>
      <c r="AS8" s="191"/>
      <c r="AT8" s="191"/>
      <c r="AV8" s="191"/>
      <c r="AW8" s="191"/>
      <c r="AX8" s="191"/>
      <c r="AZ8" s="152">
        <v>623</v>
      </c>
      <c r="BA8" s="152"/>
      <c r="BB8" s="152"/>
      <c r="BD8" s="155">
        <v>68.75</v>
      </c>
      <c r="BE8" s="156"/>
      <c r="BF8" s="157"/>
    </row>
    <row r="9" spans="1:65" ht="15.75" x14ac:dyDescent="0.25">
      <c r="A9" s="173" t="s">
        <v>82</v>
      </c>
      <c r="B9" s="174"/>
      <c r="D9" s="152">
        <v>790</v>
      </c>
      <c r="E9" s="152"/>
      <c r="F9" s="152"/>
      <c r="H9" s="152">
        <v>722</v>
      </c>
      <c r="I9" s="152"/>
      <c r="J9" s="152"/>
      <c r="K9" s="2"/>
      <c r="L9" s="152">
        <v>917</v>
      </c>
      <c r="M9" s="152"/>
      <c r="N9" s="152"/>
      <c r="P9" s="155">
        <v>913</v>
      </c>
      <c r="Q9" s="156"/>
      <c r="R9" s="157"/>
      <c r="T9" s="155">
        <v>980</v>
      </c>
      <c r="U9" s="156"/>
      <c r="V9" s="157"/>
      <c r="X9" s="155">
        <v>1064</v>
      </c>
      <c r="Y9" s="156"/>
      <c r="Z9" s="157"/>
      <c r="AB9" s="152">
        <v>1099</v>
      </c>
      <c r="AC9" s="152"/>
      <c r="AD9" s="152"/>
      <c r="AF9" s="152">
        <v>1141</v>
      </c>
      <c r="AG9" s="152"/>
      <c r="AH9" s="152"/>
      <c r="AJ9" s="152">
        <v>978</v>
      </c>
      <c r="AK9" s="152"/>
      <c r="AL9" s="152"/>
      <c r="AN9" s="152"/>
      <c r="AO9" s="152"/>
      <c r="AP9" s="152"/>
      <c r="AR9" s="152"/>
      <c r="AS9" s="152"/>
      <c r="AT9" s="152"/>
      <c r="AV9" s="152"/>
      <c r="AW9" s="152"/>
      <c r="AX9" s="152"/>
      <c r="AZ9" s="152">
        <v>8604</v>
      </c>
      <c r="BA9" s="152"/>
      <c r="BB9" s="152"/>
      <c r="BD9" s="155">
        <v>925.83333333333337</v>
      </c>
      <c r="BE9" s="156"/>
      <c r="BF9" s="157"/>
    </row>
    <row r="10" spans="1:65" ht="15.75" x14ac:dyDescent="0.25">
      <c r="A10" s="173" t="s">
        <v>83</v>
      </c>
      <c r="B10" s="174"/>
      <c r="D10" s="152">
        <v>12250.269841269841</v>
      </c>
      <c r="E10" s="152"/>
      <c r="F10" s="152"/>
      <c r="H10" s="153">
        <v>10641.64705882353</v>
      </c>
      <c r="I10" s="153"/>
      <c r="J10" s="153"/>
      <c r="K10" s="2"/>
      <c r="L10" s="153">
        <v>12403.86301369863</v>
      </c>
      <c r="M10" s="153"/>
      <c r="N10" s="153"/>
      <c r="P10" s="161">
        <v>11958.854794520548</v>
      </c>
      <c r="Q10" s="162"/>
      <c r="R10" s="163"/>
      <c r="T10" s="161">
        <v>12009.527777777777</v>
      </c>
      <c r="U10" s="162"/>
      <c r="V10" s="163"/>
      <c r="X10" s="161">
        <v>12839.434782608696</v>
      </c>
      <c r="Y10" s="162"/>
      <c r="Z10" s="163"/>
      <c r="AB10" s="153">
        <v>12233.338235294117</v>
      </c>
      <c r="AC10" s="153"/>
      <c r="AD10" s="153"/>
      <c r="AF10" s="153">
        <f>+AF7/AF8</f>
        <v>12406.39705882353</v>
      </c>
      <c r="AG10" s="153"/>
      <c r="AH10" s="153"/>
      <c r="AJ10" s="153">
        <v>11291.246376811594</v>
      </c>
      <c r="AK10" s="153"/>
      <c r="AL10" s="153"/>
      <c r="AN10" s="153"/>
      <c r="AO10" s="153"/>
      <c r="AP10" s="153"/>
      <c r="AR10" s="153"/>
      <c r="AS10" s="153"/>
      <c r="AT10" s="153"/>
      <c r="AV10" s="153"/>
      <c r="AW10" s="153"/>
      <c r="AX10" s="153"/>
      <c r="AZ10" s="152">
        <v>12004.947672552167</v>
      </c>
      <c r="BA10" s="152"/>
      <c r="BB10" s="152"/>
      <c r="BD10" s="152">
        <v>11652.240484848484</v>
      </c>
      <c r="BE10" s="152"/>
      <c r="BF10" s="152"/>
    </row>
    <row r="11" spans="1:65" ht="15.75" x14ac:dyDescent="0.25">
      <c r="A11" s="173" t="s">
        <v>84</v>
      </c>
      <c r="B11" s="174"/>
      <c r="D11" s="152">
        <v>12.53968253968254</v>
      </c>
      <c r="E11" s="152"/>
      <c r="F11" s="152"/>
      <c r="H11" s="154">
        <v>10.617647058823529</v>
      </c>
      <c r="I11" s="154"/>
      <c r="J11" s="154"/>
      <c r="K11" s="2"/>
      <c r="L11" s="154">
        <v>12.561643835616438</v>
      </c>
      <c r="M11" s="154"/>
      <c r="N11" s="154"/>
      <c r="P11" s="164">
        <v>12.506849315068493</v>
      </c>
      <c r="Q11" s="165"/>
      <c r="R11" s="166"/>
      <c r="T11" s="164">
        <v>13.611111111111111</v>
      </c>
      <c r="U11" s="165"/>
      <c r="V11" s="166"/>
      <c r="X11" s="164">
        <v>15.420289855072463</v>
      </c>
      <c r="Y11" s="165"/>
      <c r="Z11" s="166"/>
      <c r="AB11" s="154">
        <v>16.161764705882351</v>
      </c>
      <c r="AC11" s="154"/>
      <c r="AD11" s="154"/>
      <c r="AF11" s="154">
        <f>+AF9/AF8</f>
        <v>16.779411764705884</v>
      </c>
      <c r="AG11" s="154"/>
      <c r="AH11" s="154"/>
      <c r="AJ11" s="154">
        <v>14.173913043478262</v>
      </c>
      <c r="AK11" s="154"/>
      <c r="AL11" s="154"/>
      <c r="AN11" s="154"/>
      <c r="AO11" s="154"/>
      <c r="AP11" s="154"/>
      <c r="AR11" s="154"/>
      <c r="AS11" s="154"/>
      <c r="AT11" s="154"/>
      <c r="AV11" s="154"/>
      <c r="AW11" s="154"/>
      <c r="AX11" s="154"/>
      <c r="AZ11" s="152">
        <v>13.810593900481541</v>
      </c>
      <c r="BA11" s="152"/>
      <c r="BB11" s="152"/>
      <c r="BD11" s="152">
        <v>13.466666666666667</v>
      </c>
      <c r="BE11" s="152"/>
      <c r="BF11" s="152"/>
    </row>
    <row r="12" spans="1:65" ht="15.75" x14ac:dyDescent="0.25">
      <c r="A12" s="173" t="s">
        <v>85</v>
      </c>
      <c r="B12" s="174"/>
      <c r="D12" s="152">
        <v>976.92025316455693</v>
      </c>
      <c r="E12" s="152"/>
      <c r="F12" s="152"/>
      <c r="H12" s="153">
        <v>1002.2603878116344</v>
      </c>
      <c r="I12" s="153"/>
      <c r="J12" s="153"/>
      <c r="K12" s="2"/>
      <c r="L12" s="153">
        <v>987.4394765539804</v>
      </c>
      <c r="M12" s="153"/>
      <c r="N12" s="153"/>
      <c r="P12" s="161">
        <v>956.18444687842282</v>
      </c>
      <c r="Q12" s="162"/>
      <c r="R12" s="163"/>
      <c r="T12" s="161">
        <v>882.33265306122451</v>
      </c>
      <c r="U12" s="162"/>
      <c r="V12" s="163"/>
      <c r="X12" s="161">
        <v>832.63251879699249</v>
      </c>
      <c r="Y12" s="162"/>
      <c r="Z12" s="163"/>
      <c r="AB12" s="153">
        <v>756.93084622383981</v>
      </c>
      <c r="AC12" s="153"/>
      <c r="AD12" s="153"/>
      <c r="AF12" s="153">
        <f>+AF7/AF9</f>
        <v>739.38212094653818</v>
      </c>
      <c r="AG12" s="153"/>
      <c r="AH12" s="153"/>
      <c r="AJ12" s="153">
        <v>796.62167689161549</v>
      </c>
      <c r="AK12" s="153"/>
      <c r="AL12" s="153"/>
      <c r="AN12" s="153"/>
      <c r="AO12" s="153"/>
      <c r="AP12" s="153"/>
      <c r="AR12" s="153"/>
      <c r="AS12" s="153"/>
      <c r="AT12" s="153"/>
      <c r="AV12" s="153"/>
      <c r="AW12" s="153"/>
      <c r="AX12" s="153"/>
      <c r="AZ12" s="152">
        <v>869.25643886564399</v>
      </c>
      <c r="BA12" s="152"/>
      <c r="BB12" s="152"/>
      <c r="BD12" s="152">
        <v>865.26538253825379</v>
      </c>
      <c r="BE12" s="152"/>
      <c r="BF12" s="152"/>
    </row>
    <row r="13" spans="1:65" ht="15.75" x14ac:dyDescent="0.25">
      <c r="A13" s="173" t="s">
        <v>86</v>
      </c>
      <c r="B13" s="174"/>
      <c r="D13" s="170">
        <v>24605.653164556963</v>
      </c>
      <c r="E13" s="170"/>
      <c r="F13" s="170"/>
      <c r="H13" s="153">
        <v>24899.606648199446</v>
      </c>
      <c r="I13" s="153"/>
      <c r="J13" s="153"/>
      <c r="K13" s="2"/>
      <c r="L13" s="170">
        <v>24595.255179934571</v>
      </c>
      <c r="M13" s="170"/>
      <c r="N13" s="170"/>
      <c r="P13" s="167">
        <v>24286.81818181818</v>
      </c>
      <c r="Q13" s="168"/>
      <c r="R13" s="169"/>
      <c r="T13" s="167">
        <v>23215.883673469387</v>
      </c>
      <c r="U13" s="168"/>
      <c r="V13" s="169"/>
      <c r="X13" s="167">
        <v>23601.714285714286</v>
      </c>
      <c r="Y13" s="168"/>
      <c r="Z13" s="169"/>
      <c r="AB13" s="170">
        <v>21481.574158325751</v>
      </c>
      <c r="AC13" s="170"/>
      <c r="AD13" s="170"/>
      <c r="AF13" s="170">
        <f>+AF16/AF9</f>
        <v>20849.620508326028</v>
      </c>
      <c r="AG13" s="170"/>
      <c r="AH13" s="170"/>
      <c r="AJ13" s="170">
        <v>22115.567484662577</v>
      </c>
      <c r="AK13" s="170"/>
      <c r="AL13" s="170"/>
      <c r="AN13" s="170"/>
      <c r="AO13" s="170"/>
      <c r="AP13" s="170"/>
      <c r="AR13" s="170"/>
      <c r="AS13" s="170"/>
      <c r="AT13" s="170"/>
      <c r="AV13" s="170"/>
      <c r="AW13" s="170"/>
      <c r="AX13" s="170"/>
      <c r="AZ13" s="152">
        <v>24727.991980474198</v>
      </c>
      <c r="BA13" s="152"/>
      <c r="BB13" s="152"/>
      <c r="BD13" s="193">
        <v>23107.880828082805</v>
      </c>
      <c r="BE13" s="194"/>
      <c r="BF13" s="195"/>
    </row>
    <row r="14" spans="1:65" ht="5.0999999999999996" customHeight="1" x14ac:dyDescent="0.25">
      <c r="A14" s="111"/>
      <c r="B14" s="111"/>
      <c r="D14" s="4"/>
      <c r="E14" s="4"/>
      <c r="F14" s="4"/>
      <c r="H14" s="4"/>
      <c r="I14" s="4"/>
      <c r="J14" s="4"/>
      <c r="L14" s="4"/>
      <c r="M14" s="4"/>
      <c r="N14" s="4"/>
      <c r="P14" s="4"/>
      <c r="Q14" s="4"/>
      <c r="R14" s="4"/>
      <c r="T14" s="4"/>
      <c r="U14" s="4"/>
      <c r="V14" s="4"/>
      <c r="X14" s="4"/>
      <c r="Y14" s="4"/>
      <c r="Z14" s="4"/>
      <c r="AB14" s="4"/>
      <c r="AC14" s="4"/>
      <c r="AD14" s="4"/>
    </row>
    <row r="15" spans="1:65" ht="15.75" x14ac:dyDescent="0.25">
      <c r="A15" s="173" t="s">
        <v>87</v>
      </c>
      <c r="B15" s="174"/>
      <c r="D15" s="5">
        <v>19438466</v>
      </c>
      <c r="E15" s="5" t="s">
        <v>88</v>
      </c>
      <c r="F15" s="5" t="s">
        <v>89</v>
      </c>
      <c r="H15" s="5">
        <v>17977516</v>
      </c>
      <c r="I15" s="5" t="s">
        <v>88</v>
      </c>
      <c r="J15" s="5" t="s">
        <v>89</v>
      </c>
      <c r="K15" s="4"/>
      <c r="L15" s="6">
        <v>22553849</v>
      </c>
      <c r="M15" s="6" t="s">
        <v>88</v>
      </c>
      <c r="N15" s="6" t="s">
        <v>89</v>
      </c>
      <c r="P15" s="6">
        <v>22173865</v>
      </c>
      <c r="Q15" s="6" t="s">
        <v>88</v>
      </c>
      <c r="R15" s="6" t="s">
        <v>89</v>
      </c>
      <c r="T15" s="6">
        <v>22751566</v>
      </c>
      <c r="U15" s="6" t="s">
        <v>88</v>
      </c>
      <c r="V15" s="6" t="s">
        <v>89</v>
      </c>
      <c r="X15" s="6">
        <v>25112224</v>
      </c>
      <c r="Y15" s="6" t="s">
        <v>88</v>
      </c>
      <c r="Z15" s="6" t="s">
        <v>89</v>
      </c>
      <c r="AB15" s="6">
        <v>23608250</v>
      </c>
      <c r="AC15" s="6" t="s">
        <v>88</v>
      </c>
      <c r="AD15" s="6" t="s">
        <v>89</v>
      </c>
      <c r="AF15" s="6">
        <v>23789417</v>
      </c>
      <c r="AG15" s="6" t="s">
        <v>88</v>
      </c>
      <c r="AH15" s="6" t="s">
        <v>89</v>
      </c>
      <c r="AJ15" s="6">
        <v>21629025</v>
      </c>
      <c r="AK15" s="6" t="s">
        <v>88</v>
      </c>
      <c r="AL15" s="6" t="s">
        <v>89</v>
      </c>
      <c r="AN15" s="6"/>
      <c r="AO15" s="6"/>
      <c r="AP15" s="6"/>
      <c r="AR15" s="6"/>
      <c r="AS15" s="6"/>
      <c r="AT15" s="6"/>
      <c r="AV15" s="6"/>
      <c r="AW15" s="6"/>
      <c r="AX15" s="6"/>
      <c r="AZ15" s="6"/>
      <c r="BA15" s="6"/>
      <c r="BB15" s="6"/>
      <c r="BD15" s="6">
        <v>21394046.333333332</v>
      </c>
      <c r="BE15" s="6" t="s">
        <v>88</v>
      </c>
      <c r="BF15" s="6" t="s">
        <v>89</v>
      </c>
    </row>
    <row r="16" spans="1:65" ht="15.75" x14ac:dyDescent="0.25">
      <c r="A16" s="7" t="s">
        <v>90</v>
      </c>
      <c r="B16" s="7"/>
      <c r="D16" s="8">
        <v>19438466</v>
      </c>
      <c r="E16" s="9">
        <v>1</v>
      </c>
      <c r="F16" s="10">
        <v>25.186961868024934</v>
      </c>
      <c r="H16" s="8">
        <v>17977516</v>
      </c>
      <c r="I16" s="9">
        <v>1</v>
      </c>
      <c r="J16" s="10">
        <v>24.843450814778784</v>
      </c>
      <c r="K16" s="11"/>
      <c r="L16" s="8">
        <v>22553849</v>
      </c>
      <c r="M16" s="9">
        <v>1</v>
      </c>
      <c r="N16" s="10">
        <v>24.908114131479145</v>
      </c>
      <c r="P16" s="8">
        <v>22173865</v>
      </c>
      <c r="Q16" s="9">
        <v>1</v>
      </c>
      <c r="R16" s="10">
        <v>25.399721006867839</v>
      </c>
      <c r="T16" s="13">
        <v>22751566</v>
      </c>
      <c r="U16" s="9">
        <v>1</v>
      </c>
      <c r="V16" s="10">
        <v>26.311939825555172</v>
      </c>
      <c r="X16" s="8">
        <v>25112224</v>
      </c>
      <c r="Y16" s="9">
        <v>1</v>
      </c>
      <c r="Z16" s="10">
        <v>28.345895401508713</v>
      </c>
      <c r="AB16" s="8">
        <v>23608250</v>
      </c>
      <c r="AC16" s="9">
        <v>1</v>
      </c>
      <c r="AD16" s="10">
        <v>28.379837161469322</v>
      </c>
      <c r="AF16" s="8">
        <v>23789417</v>
      </c>
      <c r="AG16" s="9">
        <v>1</v>
      </c>
      <c r="AH16" s="10">
        <v>28.198707972049522</v>
      </c>
      <c r="AJ16" s="8">
        <v>21629025</v>
      </c>
      <c r="AK16" s="9">
        <v>1</v>
      </c>
      <c r="AL16" s="10">
        <v>27.761694322650868</v>
      </c>
      <c r="AN16" s="8"/>
      <c r="AO16" s="9"/>
      <c r="AP16" s="10"/>
      <c r="AR16" s="8"/>
      <c r="AS16" s="9"/>
      <c r="AT16" s="10"/>
      <c r="AV16" s="8"/>
      <c r="AW16" s="9"/>
      <c r="AX16" s="10"/>
      <c r="AZ16" s="8"/>
      <c r="BA16" s="9"/>
      <c r="BB16" s="10"/>
      <c r="BD16" s="8">
        <v>21394046.333333332</v>
      </c>
      <c r="BE16" s="9">
        <v>1</v>
      </c>
      <c r="BF16" s="10">
        <v>2.4019294177979251</v>
      </c>
    </row>
    <row r="17" spans="1:58" ht="15.75" x14ac:dyDescent="0.25">
      <c r="A17" s="181" t="s">
        <v>3</v>
      </c>
      <c r="B17" s="15" t="s">
        <v>21</v>
      </c>
      <c r="D17" s="16">
        <v>-2104776</v>
      </c>
      <c r="E17" s="17">
        <v>-0.1082789146015946</v>
      </c>
      <c r="F17" s="18">
        <v>-2.7272168931814913</v>
      </c>
      <c r="H17" s="16">
        <v>-1902061</v>
      </c>
      <c r="I17" s="17">
        <v>-0.1058022142769891</v>
      </c>
      <c r="J17" s="18">
        <v>-2.6284921064850644</v>
      </c>
      <c r="K17" s="19"/>
      <c r="L17" s="16">
        <v>-2466105</v>
      </c>
      <c r="M17" s="17">
        <v>-0.10934297733393533</v>
      </c>
      <c r="N17" s="18">
        <v>-2.7235273589093985</v>
      </c>
      <c r="P17" s="16">
        <v>-2413184</v>
      </c>
      <c r="Q17" s="17">
        <v>-0.10883010246522201</v>
      </c>
      <c r="R17" s="18">
        <v>-2.7642542397654788</v>
      </c>
      <c r="T17" s="16">
        <v>-2516418</v>
      </c>
      <c r="U17" s="20">
        <v>-0.11060416676372958</v>
      </c>
      <c r="V17" s="18">
        <v>-2.9102101803429221</v>
      </c>
      <c r="X17" s="16">
        <v>-2562114</v>
      </c>
      <c r="Y17" s="17">
        <v>-0.10202656682259605</v>
      </c>
      <c r="Z17" s="18">
        <v>-2.8920343913283464</v>
      </c>
      <c r="AB17" s="16">
        <v>-2335407</v>
      </c>
      <c r="AC17" s="17">
        <v>-9.892334247561764E-2</v>
      </c>
      <c r="AD17" s="18">
        <v>-2.8074283509262901</v>
      </c>
      <c r="AF17" s="95">
        <v>-2368291</v>
      </c>
      <c r="AG17" s="96">
        <v>-9.955229251729876E-2</v>
      </c>
      <c r="AH17" s="97">
        <v>-2.8072460246433586</v>
      </c>
      <c r="AJ17" s="95">
        <v>-2101466</v>
      </c>
      <c r="AK17" s="96">
        <v>-9.715953446815101E-2</v>
      </c>
      <c r="AL17" s="97">
        <v>-2.6973132964358695</v>
      </c>
      <c r="AN17" s="95"/>
      <c r="AO17" s="96"/>
      <c r="AP17" s="97"/>
      <c r="AR17" s="95"/>
      <c r="AS17" s="96"/>
      <c r="AT17" s="97"/>
      <c r="AV17" s="95"/>
      <c r="AW17" s="96"/>
      <c r="AX17" s="97"/>
      <c r="AZ17" s="95"/>
      <c r="BA17" s="96"/>
      <c r="BB17" s="97"/>
      <c r="BD17" s="95">
        <v>-2259825.3333333335</v>
      </c>
      <c r="BE17" s="96">
        <v>-8.8023917889887299E-3</v>
      </c>
      <c r="BF17" s="97">
        <v>-0.25371268541945929</v>
      </c>
    </row>
    <row r="18" spans="1:58" ht="15.75" x14ac:dyDescent="0.25">
      <c r="A18" s="182"/>
      <c r="B18" s="15" t="s">
        <v>22</v>
      </c>
      <c r="D18" s="16">
        <v>-6428527</v>
      </c>
      <c r="E18" s="17">
        <v>-0.3307116415462002</v>
      </c>
      <c r="F18" s="18">
        <v>-8.3296215049360747</v>
      </c>
      <c r="H18" s="16">
        <v>-6137309</v>
      </c>
      <c r="I18" s="21">
        <v>-0.34138804270845874</v>
      </c>
      <c r="J18" s="18">
        <v>-8.4812570477811935</v>
      </c>
      <c r="K18" s="19"/>
      <c r="L18" s="16">
        <v>-7688795</v>
      </c>
      <c r="M18" s="21">
        <v>-0.34090833010365545</v>
      </c>
      <c r="N18" s="18">
        <v>-8.4913835945938185</v>
      </c>
      <c r="P18" s="16">
        <v>-7483439</v>
      </c>
      <c r="Q18" s="21">
        <v>-0.33748915671670232</v>
      </c>
      <c r="R18" s="18">
        <v>-8.5721304234473354</v>
      </c>
      <c r="T18" s="16">
        <v>-7570162</v>
      </c>
      <c r="U18" s="22">
        <v>-0.33273147000079029</v>
      </c>
      <c r="V18" s="18">
        <v>-8.7548104167293097</v>
      </c>
      <c r="X18" s="16">
        <v>-7834429</v>
      </c>
      <c r="Y18" s="17">
        <v>-0.31197670903222269</v>
      </c>
      <c r="Z18" s="18">
        <v>-8.8432591619343039</v>
      </c>
      <c r="AB18" s="16">
        <v>-7584509</v>
      </c>
      <c r="AC18" s="17">
        <v>-0.32126519331166009</v>
      </c>
      <c r="AD18" s="18">
        <v>-9.1174538718328773</v>
      </c>
      <c r="AF18" s="95">
        <v>-7972610</v>
      </c>
      <c r="AG18" s="96">
        <v>-0.33513263481824712</v>
      </c>
      <c r="AH18" s="97">
        <v>-9.4503073011432672</v>
      </c>
      <c r="AJ18" s="95">
        <v>-7351826</v>
      </c>
      <c r="AK18" s="96">
        <v>-0.33990556670954886</v>
      </c>
      <c r="AL18" s="97">
        <v>-9.4363544415579081</v>
      </c>
      <c r="AN18" s="95"/>
      <c r="AO18" s="96"/>
      <c r="AP18" s="97"/>
      <c r="AR18" s="95"/>
      <c r="AS18" s="96"/>
      <c r="AT18" s="97"/>
      <c r="AV18" s="95"/>
      <c r="AW18" s="96"/>
      <c r="AX18" s="97"/>
      <c r="AZ18" s="95"/>
      <c r="BA18" s="96"/>
      <c r="BB18" s="97"/>
      <c r="BD18" s="95">
        <v>-7191411.5</v>
      </c>
      <c r="BE18" s="96">
        <v>-2.8011731971101805E-2</v>
      </c>
      <c r="BF18" s="97">
        <v>-0.807386436778321</v>
      </c>
    </row>
    <row r="19" spans="1:58" ht="15.75" x14ac:dyDescent="0.25">
      <c r="A19" s="182"/>
      <c r="B19" s="15" t="s">
        <v>23</v>
      </c>
      <c r="D19" s="16">
        <v>-386467.11</v>
      </c>
      <c r="E19" s="17">
        <v>-1.9881564213966266E-2</v>
      </c>
      <c r="F19" s="18">
        <v>-0.50075619973385743</v>
      </c>
      <c r="H19" s="16">
        <v>-402590.5799999999</v>
      </c>
      <c r="I19" s="21">
        <v>-2.2394116072543054E-2</v>
      </c>
      <c r="J19" s="18">
        <v>-0.55634712118867036</v>
      </c>
      <c r="K19" s="19">
        <v>0.55634712118867036</v>
      </c>
      <c r="L19" s="16">
        <v>-429702.03</v>
      </c>
      <c r="M19" s="21">
        <v>-1.9052270412912672E-2</v>
      </c>
      <c r="N19" s="18">
        <v>-0.47455612590863211</v>
      </c>
      <c r="P19" s="16">
        <v>-381572.35000000015</v>
      </c>
      <c r="Q19" s="21">
        <v>-1.7208202088359433E-2</v>
      </c>
      <c r="R19" s="18">
        <v>-0.43708353207413014</v>
      </c>
      <c r="T19" s="16">
        <v>-408310.62</v>
      </c>
      <c r="U19" s="22">
        <v>-1.7946484211240669E-2</v>
      </c>
      <c r="V19" s="18">
        <v>-0.47220681264644043</v>
      </c>
      <c r="X19" s="16">
        <v>-318558.61999999994</v>
      </c>
      <c r="Y19" s="17">
        <v>-1.2685400544372331E-2</v>
      </c>
      <c r="Z19" s="18">
        <v>-0.35957903695701982</v>
      </c>
      <c r="AB19" s="16">
        <v>-373434.43000000005</v>
      </c>
      <c r="AC19" s="17">
        <v>-1.5817963212012752E-2</v>
      </c>
      <c r="AD19" s="18">
        <v>-0.44891122018303414</v>
      </c>
      <c r="AF19" s="95">
        <v>-427270.26</v>
      </c>
      <c r="AG19" s="96">
        <v>-1.7960518326279287E-2</v>
      </c>
      <c r="AH19" s="97">
        <v>-0.50646341130939332</v>
      </c>
      <c r="AJ19" s="95">
        <v>-379693.73000000004</v>
      </c>
      <c r="AK19" s="96">
        <v>-1.7554824130999895E-2</v>
      </c>
      <c r="AL19" s="97">
        <v>-0.4873516614127143</v>
      </c>
      <c r="AN19" s="95"/>
      <c r="AO19" s="96"/>
      <c r="AP19" s="97"/>
      <c r="AR19" s="95"/>
      <c r="AS19" s="96"/>
      <c r="AT19" s="97"/>
      <c r="AV19" s="95"/>
      <c r="AW19" s="96"/>
      <c r="AX19" s="97"/>
      <c r="AZ19" s="95"/>
      <c r="BA19" s="96"/>
      <c r="BB19" s="97"/>
      <c r="BD19" s="95">
        <v>-393770.9266666667</v>
      </c>
      <c r="BE19" s="96">
        <v>-1.5338025999206209E-3</v>
      </c>
      <c r="BF19" s="97">
        <v>-4.4209027030131368E-2</v>
      </c>
    </row>
    <row r="20" spans="1:58" ht="15.75" x14ac:dyDescent="0.25">
      <c r="A20" s="182"/>
      <c r="B20" s="15" t="s">
        <v>24</v>
      </c>
      <c r="D20" s="16">
        <v>-22623.550000000003</v>
      </c>
      <c r="E20" s="17">
        <v>-1.163854699233983E-3</v>
      </c>
      <c r="F20" s="18">
        <v>-2.9313963929527957E-2</v>
      </c>
      <c r="H20" s="16">
        <v>-12429.31</v>
      </c>
      <c r="I20" s="21">
        <v>-6.9138083370361061E-4</v>
      </c>
      <c r="J20" s="18">
        <v>-1.7176285736396398E-2</v>
      </c>
      <c r="K20" s="19">
        <v>1.7176285736396398E-2</v>
      </c>
      <c r="L20" s="16">
        <v>-12458.759999999998</v>
      </c>
      <c r="M20" s="21">
        <v>-5.5240061241874938E-4</v>
      </c>
      <c r="N20" s="18">
        <v>-1.3759257500425186E-2</v>
      </c>
      <c r="P20" s="16">
        <v>-36810.25</v>
      </c>
      <c r="Q20" s="21">
        <v>-1.6600736948655546E-3</v>
      </c>
      <c r="R20" s="18">
        <v>-4.2165408700425337E-2</v>
      </c>
      <c r="T20" s="16">
        <v>-29630.350000000006</v>
      </c>
      <c r="U20" s="22">
        <v>-1.302343320015862E-3</v>
      </c>
      <c r="V20" s="18">
        <v>-3.4267179068471106E-2</v>
      </c>
      <c r="X20" s="16">
        <v>-14934.38</v>
      </c>
      <c r="Y20" s="17">
        <v>-5.9470559039294965E-4</v>
      </c>
      <c r="Z20" s="18">
        <v>-1.6857462459971034E-2</v>
      </c>
      <c r="AB20" s="16">
        <v>-22727.14</v>
      </c>
      <c r="AC20" s="17">
        <v>-9.6267787743691295E-4</v>
      </c>
      <c r="AD20" s="18">
        <v>-2.7320641400608511E-2</v>
      </c>
      <c r="AF20" s="95">
        <v>-18159.580000000002</v>
      </c>
      <c r="AG20" s="96">
        <v>-7.6334699585113846E-4</v>
      </c>
      <c r="AH20" s="97">
        <v>-2.1525399017347551E-2</v>
      </c>
      <c r="AJ20" s="95">
        <v>-27282.909999999996</v>
      </c>
      <c r="AK20" s="96">
        <v>-1.2614026753401965E-3</v>
      </c>
      <c r="AL20" s="97">
        <v>-3.501867549056855E-2</v>
      </c>
      <c r="AN20" s="95"/>
      <c r="AO20" s="96"/>
      <c r="AP20" s="97"/>
      <c r="AR20" s="95"/>
      <c r="AS20" s="96"/>
      <c r="AT20" s="97"/>
      <c r="AV20" s="95"/>
      <c r="AW20" s="96"/>
      <c r="AX20" s="97"/>
      <c r="AZ20" s="95"/>
      <c r="BA20" s="96"/>
      <c r="BB20" s="97"/>
      <c r="BD20" s="95">
        <v>-21498.389166666668</v>
      </c>
      <c r="BE20" s="96">
        <v>-8.3739765850849364E-5</v>
      </c>
      <c r="BF20" s="97">
        <v>-2.4136440844399823E-3</v>
      </c>
    </row>
    <row r="21" spans="1:58" ht="15.75" x14ac:dyDescent="0.25">
      <c r="A21" s="183"/>
      <c r="B21" s="15" t="s">
        <v>25</v>
      </c>
      <c r="D21" s="16">
        <v>-1532266</v>
      </c>
      <c r="E21" s="17">
        <v>-7.8826487645681509E-2</v>
      </c>
      <c r="F21" s="18">
        <v>-1.9853997385221187</v>
      </c>
      <c r="H21" s="16">
        <v>-1413508</v>
      </c>
      <c r="I21" s="21">
        <v>-7.8626435376277795E-2</v>
      </c>
      <c r="J21" s="18">
        <v>-1.9533519800119399</v>
      </c>
      <c r="K21" s="19"/>
      <c r="L21" s="16">
        <v>-1784565</v>
      </c>
      <c r="M21" s="21">
        <v>-7.9124631897641948E-2</v>
      </c>
      <c r="N21" s="18">
        <v>-1.9708453619177411</v>
      </c>
      <c r="P21" s="16">
        <v>-1730293</v>
      </c>
      <c r="Q21" s="21">
        <v>-7.8032990640107172E-2</v>
      </c>
      <c r="R21" s="18">
        <v>-1.9820161915902517</v>
      </c>
      <c r="T21" s="16">
        <v>-1743425</v>
      </c>
      <c r="U21" s="22">
        <v>-7.662879117859403E-2</v>
      </c>
      <c r="V21" s="18">
        <v>-2.0162521423961994</v>
      </c>
      <c r="X21" s="16">
        <v>-1741625</v>
      </c>
      <c r="Y21" s="17">
        <v>-6.9353674130973028E-2</v>
      </c>
      <c r="Z21" s="18">
        <v>-1.9658919926268821</v>
      </c>
      <c r="AB21" s="16">
        <v>-1656160</v>
      </c>
      <c r="AC21" s="17">
        <v>-7.0151747800027531E-2</v>
      </c>
      <c r="AD21" s="18">
        <v>-1.9908951791572451</v>
      </c>
      <c r="AF21" s="95">
        <v>-1677674</v>
      </c>
      <c r="AG21" s="96">
        <v>-7.0521862725765827E-2</v>
      </c>
      <c r="AH21" s="97">
        <v>-1.9886254126488352</v>
      </c>
      <c r="AJ21" s="95">
        <v>-1509318</v>
      </c>
      <c r="AK21" s="96">
        <v>-6.9782063685256274E-2</v>
      </c>
      <c r="AL21" s="97">
        <v>-1.9372683212338402</v>
      </c>
      <c r="AN21" s="95"/>
      <c r="AO21" s="96"/>
      <c r="AP21" s="97"/>
      <c r="AR21" s="95"/>
      <c r="AS21" s="96"/>
      <c r="AT21" s="97"/>
      <c r="AV21" s="95"/>
      <c r="AW21" s="96"/>
      <c r="AX21" s="97"/>
      <c r="AZ21" s="95"/>
      <c r="BA21" s="96"/>
      <c r="BB21" s="97"/>
      <c r="BD21" s="95">
        <v>-1582859.8333333333</v>
      </c>
      <c r="BE21" s="96">
        <v>-6.1654996935102662E-3</v>
      </c>
      <c r="BF21" s="97">
        <v>-0.17770914107119681</v>
      </c>
    </row>
    <row r="22" spans="1:58" ht="15.75" x14ac:dyDescent="0.25">
      <c r="A22" s="23" t="s">
        <v>26</v>
      </c>
      <c r="B22" s="23"/>
      <c r="D22" s="13">
        <v>-10474659.66</v>
      </c>
      <c r="E22" s="24">
        <v>-0.53886246270667659</v>
      </c>
      <c r="F22" s="14">
        <v>-13.572308300303071</v>
      </c>
      <c r="H22" s="13">
        <v>-9867897.8900000006</v>
      </c>
      <c r="I22" s="24">
        <v>-0.5489021892679723</v>
      </c>
      <c r="J22" s="14">
        <v>-13.636624541203265</v>
      </c>
      <c r="K22" s="11"/>
      <c r="L22" s="13">
        <v>-12381625.789999999</v>
      </c>
      <c r="M22" s="24">
        <v>-0.54898061036056411</v>
      </c>
      <c r="N22" s="14">
        <v>-13.674071698830014</v>
      </c>
      <c r="P22" s="13">
        <v>-12045298.6</v>
      </c>
      <c r="Q22" s="25">
        <v>-0.54322052560525647</v>
      </c>
      <c r="R22" s="14">
        <v>-13.797649795577621</v>
      </c>
      <c r="T22" s="8">
        <v>-12267945.969999999</v>
      </c>
      <c r="U22" s="25">
        <v>-0.53921325547437038</v>
      </c>
      <c r="V22" s="14">
        <v>-14.187746731183342</v>
      </c>
      <c r="X22" s="13">
        <v>-12471661</v>
      </c>
      <c r="Y22" s="25">
        <v>-0.49663705612055709</v>
      </c>
      <c r="Z22" s="14">
        <v>-14.077622045306523</v>
      </c>
      <c r="AB22" s="13">
        <v>-11972237.57</v>
      </c>
      <c r="AC22" s="25">
        <v>-0.50712092467675496</v>
      </c>
      <c r="AD22" s="14">
        <v>-14.392009263500055</v>
      </c>
      <c r="AF22" s="13">
        <v>-12464004.84</v>
      </c>
      <c r="AG22" s="25">
        <v>-0.52393065538344219</v>
      </c>
      <c r="AH22" s="14">
        <v>-14.774167548762202</v>
      </c>
      <c r="AJ22" s="13">
        <v>-11369586.640000001</v>
      </c>
      <c r="AK22" s="25">
        <v>-0.52566339166929621</v>
      </c>
      <c r="AL22" s="14">
        <v>-14.593306396130901</v>
      </c>
      <c r="AN22" s="13"/>
      <c r="AO22" s="25"/>
      <c r="AP22" s="14"/>
      <c r="AR22" s="13"/>
      <c r="AS22" s="25"/>
      <c r="AT22" s="14"/>
      <c r="AV22" s="13"/>
      <c r="AW22" s="25"/>
      <c r="AX22" s="14"/>
      <c r="AZ22" s="13"/>
      <c r="BA22" s="25"/>
      <c r="BB22" s="14"/>
      <c r="BD22" s="13">
        <v>-11449365.9825</v>
      </c>
      <c r="BE22" s="25">
        <v>-4.4597165819372273E-2</v>
      </c>
      <c r="BF22" s="14">
        <v>-1.2854309343835484</v>
      </c>
    </row>
    <row r="23" spans="1:58" ht="15.75" x14ac:dyDescent="0.25">
      <c r="A23" s="7" t="s">
        <v>99</v>
      </c>
      <c r="B23" s="32"/>
      <c r="D23" s="33">
        <v>8963806.3399999999</v>
      </c>
      <c r="E23" s="34">
        <v>0.46113753729332346</v>
      </c>
      <c r="F23" s="10">
        <v>11.614653567721865</v>
      </c>
      <c r="H23" s="33">
        <v>8109618.1099999994</v>
      </c>
      <c r="I23" s="34">
        <v>0.4510978107320277</v>
      </c>
      <c r="J23" s="10">
        <v>11.206826273575519</v>
      </c>
      <c r="K23" s="19"/>
      <c r="L23" s="33">
        <v>10172223.210000001</v>
      </c>
      <c r="M23" s="34">
        <v>0.45101938963943589</v>
      </c>
      <c r="N23" s="10">
        <v>11.234042432649131</v>
      </c>
      <c r="P23" s="33">
        <v>10128566.4</v>
      </c>
      <c r="Q23" s="34">
        <v>0.45677947439474353</v>
      </c>
      <c r="R23" s="10">
        <v>11.602071211290218</v>
      </c>
      <c r="T23" s="33">
        <v>10483620.030000001</v>
      </c>
      <c r="U23" s="34">
        <v>0.46078674452562962</v>
      </c>
      <c r="V23" s="10">
        <v>12.124193094371831</v>
      </c>
      <c r="X23" s="33">
        <v>12640563</v>
      </c>
      <c r="Y23" s="34">
        <v>0.50336294387944291</v>
      </c>
      <c r="Z23" s="10">
        <v>14.26827335620219</v>
      </c>
      <c r="AB23" s="12"/>
      <c r="AC23" s="98"/>
      <c r="AD23" s="99"/>
      <c r="AF23" s="33">
        <v>11325412.16</v>
      </c>
      <c r="AG23" s="34">
        <v>0.47606934461655787</v>
      </c>
      <c r="AH23" s="10">
        <v>13.424540423287322</v>
      </c>
      <c r="AJ23" s="33">
        <v>10259438.359999999</v>
      </c>
      <c r="AK23" s="34">
        <v>0.47433660833070374</v>
      </c>
      <c r="AL23" s="10">
        <v>13.168387926519966</v>
      </c>
      <c r="AN23" s="33"/>
      <c r="AO23" s="34"/>
      <c r="AP23" s="10"/>
      <c r="AR23" s="33"/>
      <c r="AS23" s="34"/>
      <c r="AT23" s="10"/>
      <c r="AV23" s="33"/>
      <c r="AW23" s="34"/>
      <c r="AX23" s="10"/>
      <c r="AZ23" s="33"/>
      <c r="BA23" s="34"/>
      <c r="BB23" s="10"/>
      <c r="BD23" s="33">
        <v>8822497.2981068324</v>
      </c>
      <c r="BE23" s="34">
        <v>3.4365079738565708E-2</v>
      </c>
      <c r="BF23" s="10">
        <v>0.99050995162838895</v>
      </c>
    </row>
    <row r="24" spans="1:58" ht="15.75" x14ac:dyDescent="0.25">
      <c r="A24" s="181" t="s">
        <v>12</v>
      </c>
      <c r="B24" s="15" t="s">
        <v>27</v>
      </c>
      <c r="D24" s="16">
        <v>-53424.491667000002</v>
      </c>
      <c r="E24" s="17">
        <v>-2.7483903136698135E-3</v>
      </c>
      <c r="F24" s="18">
        <v>-6.9223602028850681E-2</v>
      </c>
      <c r="G24" s="130"/>
      <c r="H24" s="16">
        <v>-23691.238333000001</v>
      </c>
      <c r="I24" s="21">
        <v>-1.3178260185111226E-3</v>
      </c>
      <c r="J24" s="18">
        <v>-3.2739345873316825E-2</v>
      </c>
      <c r="K24" s="19">
        <v>3.2739345873316825E-2</v>
      </c>
      <c r="L24" s="16">
        <v>-34921.088418000007</v>
      </c>
      <c r="M24" s="21">
        <v>-1.5483427426511548E-3</v>
      </c>
      <c r="N24" s="18">
        <v>-3.8566297748602409E-2</v>
      </c>
      <c r="O24" s="130"/>
      <c r="P24" s="16">
        <v>-34208.916667999998</v>
      </c>
      <c r="Q24" s="21">
        <v>-1.5427584080628253E-3</v>
      </c>
      <c r="R24" s="18">
        <v>-3.9185633145795332E-2</v>
      </c>
      <c r="S24" s="130"/>
      <c r="T24" s="16">
        <v>-117257.74775999998</v>
      </c>
      <c r="U24" s="21">
        <v>-5.153831949853473E-3</v>
      </c>
      <c r="V24" s="18">
        <v>-0.13560731613556826</v>
      </c>
      <c r="W24" s="130"/>
      <c r="X24" s="16">
        <v>-37408.702413999999</v>
      </c>
      <c r="Y24" s="21">
        <v>-1.4896610676139238E-3</v>
      </c>
      <c r="Z24" s="18">
        <v>-4.2225776806284081E-2</v>
      </c>
      <c r="AB24" s="16">
        <v>-65825.05373900001</v>
      </c>
      <c r="AC24" s="21">
        <v>-2.7882224959071516E-3</v>
      </c>
      <c r="AD24" s="18">
        <v>-7.9129300403790528E-2</v>
      </c>
      <c r="AF24" s="95">
        <v>-19969.69969400001</v>
      </c>
      <c r="AG24" s="100">
        <v>-8.3943627933378987E-4</v>
      </c>
      <c r="AH24" s="97">
        <v>-2.3671018502077333E-2</v>
      </c>
      <c r="AJ24" s="95">
        <v>-22860.567741999999</v>
      </c>
      <c r="AK24" s="100">
        <v>-1.056939355426331E-3</v>
      </c>
      <c r="AL24" s="97">
        <v>-2.9342427302925442E-2</v>
      </c>
      <c r="AN24" s="95"/>
      <c r="AO24" s="100"/>
      <c r="AP24" s="97"/>
      <c r="AR24" s="95"/>
      <c r="AS24" s="100"/>
      <c r="AT24" s="97"/>
      <c r="AV24" s="95"/>
      <c r="AW24" s="100"/>
      <c r="AX24" s="97"/>
      <c r="AZ24" s="95"/>
      <c r="BA24" s="100"/>
      <c r="BB24" s="97"/>
      <c r="BD24" s="95">
        <v>-44354.601207083331</v>
      </c>
      <c r="BE24" s="100">
        <v>-1.7276847538176987E-4</v>
      </c>
      <c r="BF24" s="97">
        <v>-4.979732201850837E-3</v>
      </c>
    </row>
    <row r="25" spans="1:58" ht="15.75" x14ac:dyDescent="0.25">
      <c r="A25" s="182"/>
      <c r="B25" s="15" t="s">
        <v>91</v>
      </c>
      <c r="C25" s="130"/>
      <c r="D25" s="16">
        <v>-31692.050000000003</v>
      </c>
      <c r="E25" s="17">
        <v>-1.6303781378633479E-3</v>
      </c>
      <c r="F25" s="18">
        <v>-4.1064271988825646E-2</v>
      </c>
      <c r="G25" s="130"/>
      <c r="H25" s="16">
        <v>-33444.17</v>
      </c>
      <c r="I25" s="21">
        <v>-1.8603332073240818E-3</v>
      </c>
      <c r="J25" s="18">
        <v>-4.6217096535255485E-2</v>
      </c>
      <c r="K25" s="19">
        <v>4.6217096535255485E-2</v>
      </c>
      <c r="L25" s="16">
        <v>-33592.35</v>
      </c>
      <c r="M25" s="21">
        <v>-1.4894287001744136E-3</v>
      </c>
      <c r="N25" s="18">
        <v>-3.7098860054644925E-2</v>
      </c>
      <c r="O25" s="130"/>
      <c r="P25" s="16">
        <v>-35186.42</v>
      </c>
      <c r="Q25" s="21">
        <v>-1.5868419871772467E-3</v>
      </c>
      <c r="R25" s="18">
        <v>-4.0305343756285819E-2</v>
      </c>
      <c r="S25" s="130"/>
      <c r="T25" s="16">
        <v>-41229.610000000008</v>
      </c>
      <c r="U25" s="21">
        <v>-1.8121658087183979E-3</v>
      </c>
      <c r="V25" s="18">
        <v>-4.7681597712927015E-2</v>
      </c>
      <c r="W25" s="130"/>
      <c r="X25" s="16">
        <v>-44282.979998000003</v>
      </c>
      <c r="Y25" s="21">
        <v>-1.7634033528053908E-3</v>
      </c>
      <c r="Z25" s="18">
        <v>-4.9985246989291375E-2</v>
      </c>
      <c r="AB25" s="16">
        <v>-36899.580002000002</v>
      </c>
      <c r="AC25" s="21">
        <v>-1.5629951394957272E-3</v>
      </c>
      <c r="AD25" s="18">
        <v>-4.4357547543056763E-2</v>
      </c>
      <c r="AF25" s="95">
        <v>-20049.52</v>
      </c>
      <c r="AG25" s="100">
        <v>-8.4279156567813331E-4</v>
      </c>
      <c r="AH25" s="97">
        <v>-2.3765633241864075E-2</v>
      </c>
      <c r="AJ25" s="95">
        <v>-28769.670000000002</v>
      </c>
      <c r="AK25" s="100">
        <v>-1.3301417886381842E-3</v>
      </c>
      <c r="AL25" s="97">
        <v>-3.692698974195735E-2</v>
      </c>
      <c r="AN25" s="95"/>
      <c r="AO25" s="100"/>
      <c r="AP25" s="97"/>
      <c r="AR25" s="95"/>
      <c r="AS25" s="100"/>
      <c r="AT25" s="97"/>
      <c r="AV25" s="95"/>
      <c r="AW25" s="100"/>
      <c r="AX25" s="97"/>
      <c r="AZ25" s="95"/>
      <c r="BA25" s="100"/>
      <c r="BB25" s="97"/>
      <c r="BD25" s="95">
        <v>-29170.132499999996</v>
      </c>
      <c r="BE25" s="100">
        <v>-1.1362246940694824E-4</v>
      </c>
      <c r="BF25" s="97">
        <v>-3.274957821496725E-3</v>
      </c>
    </row>
    <row r="26" spans="1:58" ht="15.75" x14ac:dyDescent="0.25">
      <c r="A26" s="182"/>
      <c r="B26" s="15" t="s">
        <v>28</v>
      </c>
      <c r="C26" s="130"/>
      <c r="D26" s="16">
        <v>-166955.69</v>
      </c>
      <c r="E26" s="17"/>
      <c r="F26" s="18"/>
      <c r="G26" s="130"/>
      <c r="H26" s="16">
        <v>-28047.62</v>
      </c>
      <c r="I26" s="21"/>
      <c r="J26" s="18"/>
      <c r="K26" s="19">
        <v>3.875950759502067E-2</v>
      </c>
      <c r="L26" s="16">
        <v>-39538.259999999995</v>
      </c>
      <c r="M26" s="21"/>
      <c r="N26" s="18"/>
      <c r="O26" s="130"/>
      <c r="P26" s="16">
        <v>-39643.109999999993</v>
      </c>
      <c r="Q26" s="21">
        <v>-1.7878304030443043E-3</v>
      </c>
      <c r="R26" s="18">
        <v>-4.5410393444921412E-2</v>
      </c>
      <c r="S26" s="130"/>
      <c r="T26" s="16">
        <v>-32164.41</v>
      </c>
      <c r="U26" s="21">
        <v>-1.4137229059309588E-3</v>
      </c>
      <c r="V26" s="18">
        <v>-3.7197792030864381E-2</v>
      </c>
      <c r="W26" s="130"/>
      <c r="X26" s="16">
        <v>-32994.61</v>
      </c>
      <c r="Y26" s="21">
        <v>-1.313886416432093E-3</v>
      </c>
      <c r="Z26" s="18">
        <v>-3.7243286929647228E-2</v>
      </c>
      <c r="AB26" s="16">
        <v>-19844.099999999999</v>
      </c>
      <c r="AC26" s="21">
        <v>-8.4055785583429517E-4</v>
      </c>
      <c r="AD26" s="18">
        <v>-2.3854895073371102E-2</v>
      </c>
      <c r="AF26" s="95">
        <v>-9968.0400000000009</v>
      </c>
      <c r="AG26" s="100">
        <v>-4.1901152937039193E-4</v>
      </c>
      <c r="AH26" s="97">
        <v>-1.1815583753637534E-2</v>
      </c>
      <c r="AJ26" s="95">
        <v>-14278.98</v>
      </c>
      <c r="AK26" s="100">
        <v>-6.6017677634567433E-4</v>
      </c>
      <c r="AL26" s="97">
        <v>-1.832762586382166E-2</v>
      </c>
      <c r="AN26" s="95"/>
      <c r="AO26" s="100"/>
      <c r="AP26" s="97"/>
      <c r="AR26" s="95"/>
      <c r="AS26" s="100"/>
      <c r="AT26" s="97"/>
      <c r="AV26" s="95"/>
      <c r="AW26" s="100"/>
      <c r="AX26" s="97"/>
      <c r="AZ26" s="95"/>
      <c r="BA26" s="100"/>
      <c r="BB26" s="97"/>
      <c r="BD26" s="95">
        <v>-41637.618333333325</v>
      </c>
      <c r="BE26" s="100">
        <v>-1.6218537969470495E-4</v>
      </c>
      <c r="BF26" s="97">
        <v>-4.6746940155052577E-3</v>
      </c>
    </row>
    <row r="27" spans="1:58" ht="15.75" x14ac:dyDescent="0.25">
      <c r="A27" s="182"/>
      <c r="B27" s="54" t="s">
        <v>92</v>
      </c>
      <c r="C27" s="54"/>
      <c r="D27" s="16"/>
      <c r="E27" s="17"/>
      <c r="F27" s="18"/>
      <c r="G27" s="54"/>
      <c r="H27" s="16"/>
      <c r="I27" s="21"/>
      <c r="J27" s="18"/>
      <c r="K27" s="19">
        <v>0</v>
      </c>
      <c r="L27" s="16"/>
      <c r="M27" s="21"/>
      <c r="N27" s="18"/>
      <c r="O27" s="54"/>
      <c r="P27" s="16"/>
      <c r="Q27" s="21"/>
      <c r="R27" s="18"/>
      <c r="S27" s="54"/>
      <c r="T27" s="16"/>
      <c r="U27" s="21"/>
      <c r="V27" s="18"/>
      <c r="W27" s="54"/>
      <c r="X27" s="16">
        <v>-115.9</v>
      </c>
      <c r="Y27" s="21">
        <v>-4.6152821828922845E-6</v>
      </c>
      <c r="Z27" s="18">
        <v>-1.3082430600471149E-4</v>
      </c>
      <c r="AB27" s="16">
        <v>-6447.0819999999985</v>
      </c>
      <c r="AC27" s="21">
        <v>-2.7308597630065757E-4</v>
      </c>
      <c r="AD27" s="18">
        <v>-7.750135538493531E-3</v>
      </c>
      <c r="AF27" s="95">
        <v>-9028.8935999999976</v>
      </c>
      <c r="AG27" s="100">
        <v>-3.795340423853177E-4</v>
      </c>
      <c r="AH27" s="97">
        <v>-1.070236962667504E-2</v>
      </c>
      <c r="AJ27" s="95">
        <v>-9441.7716060000002</v>
      </c>
      <c r="AK27" s="100">
        <v>-4.3653246533304207E-4</v>
      </c>
      <c r="AL27" s="97">
        <v>-1.21188808644891E-2</v>
      </c>
      <c r="AN27" s="95"/>
      <c r="AO27" s="100"/>
      <c r="AP27" s="97"/>
      <c r="AR27" s="95"/>
      <c r="AS27" s="100"/>
      <c r="AT27" s="97"/>
      <c r="AV27" s="95"/>
      <c r="AW27" s="100"/>
      <c r="AX27" s="97"/>
      <c r="AZ27" s="95"/>
      <c r="BA27" s="100"/>
      <c r="BB27" s="97"/>
      <c r="BD27" s="95">
        <v>-3830.7143505833324</v>
      </c>
      <c r="BE27" s="100"/>
      <c r="BF27" s="97"/>
    </row>
    <row r="28" spans="1:58" ht="15.75" x14ac:dyDescent="0.25">
      <c r="A28" s="182"/>
      <c r="B28" s="15" t="s">
        <v>23</v>
      </c>
      <c r="C28" s="130"/>
      <c r="D28" s="16"/>
      <c r="E28" s="17">
        <v>0</v>
      </c>
      <c r="F28" s="18">
        <v>0</v>
      </c>
      <c r="G28" s="130"/>
      <c r="H28" s="16"/>
      <c r="I28" s="21">
        <v>0</v>
      </c>
      <c r="J28" s="18">
        <v>0</v>
      </c>
      <c r="K28" s="19">
        <v>0</v>
      </c>
      <c r="L28" s="16"/>
      <c r="M28" s="21">
        <v>0</v>
      </c>
      <c r="N28" s="18">
        <v>0</v>
      </c>
      <c r="O28" s="130"/>
      <c r="P28" s="16">
        <v>0</v>
      </c>
      <c r="Q28" s="21">
        <v>0</v>
      </c>
      <c r="R28" s="18">
        <v>0</v>
      </c>
      <c r="S28" s="130"/>
      <c r="T28" s="16">
        <v>-34578.32</v>
      </c>
      <c r="U28" s="21">
        <v>-1.5198215366801565E-3</v>
      </c>
      <c r="V28" s="18">
        <v>-3.9989452818711066E-2</v>
      </c>
      <c r="W28" s="130"/>
      <c r="X28" s="16">
        <v>-41346.410000000003</v>
      </c>
      <c r="Y28" s="21">
        <v>-1.6464654823085364E-3</v>
      </c>
      <c r="Z28" s="18">
        <v>-4.6670538343712369E-2</v>
      </c>
      <c r="AB28" s="16">
        <v>-12783</v>
      </c>
      <c r="AC28" s="21">
        <v>-5.4146325966558304E-4</v>
      </c>
      <c r="AD28" s="18">
        <v>-1.5366639138227625E-2</v>
      </c>
      <c r="AF28" s="95">
        <v>-27683.34</v>
      </c>
      <c r="AG28" s="100">
        <v>-1.1636829939968684E-3</v>
      </c>
      <c r="AH28" s="97">
        <v>-3.2814356919757953E-2</v>
      </c>
      <c r="AJ28" s="95">
        <v>-41134.81</v>
      </c>
      <c r="AK28" s="100">
        <v>-1.901833762733179E-3</v>
      </c>
      <c r="AL28" s="97">
        <v>-5.2798127573495432E-2</v>
      </c>
      <c r="AN28" s="95"/>
      <c r="AO28" s="100"/>
      <c r="AP28" s="97"/>
      <c r="AR28" s="95"/>
      <c r="AS28" s="100"/>
      <c r="AT28" s="97"/>
      <c r="AV28" s="95"/>
      <c r="AW28" s="100"/>
      <c r="AX28" s="97"/>
      <c r="AZ28" s="95"/>
      <c r="BA28" s="100"/>
      <c r="BB28" s="97"/>
      <c r="BD28" s="95">
        <v>-20932.068333333333</v>
      </c>
      <c r="BE28" s="100">
        <v>-8.1533852951415857E-5</v>
      </c>
      <c r="BF28" s="97">
        <v>-2.3500627194049913E-3</v>
      </c>
    </row>
    <row r="29" spans="1:58" ht="15.75" x14ac:dyDescent="0.25">
      <c r="A29" s="182"/>
      <c r="B29" s="15" t="s">
        <v>93</v>
      </c>
      <c r="C29" s="130"/>
      <c r="D29" s="16">
        <v>-60308.590000000004</v>
      </c>
      <c r="E29" s="17">
        <v>-3.1025385439365435E-3</v>
      </c>
      <c r="F29" s="18">
        <v>-7.8143520000207328E-2</v>
      </c>
      <c r="G29" s="130"/>
      <c r="H29" s="16">
        <v>-2185.3199999999997</v>
      </c>
      <c r="I29" s="21">
        <v>-1.2155850674809577E-4</v>
      </c>
      <c r="J29" s="18">
        <v>-3.019932783514272E-3</v>
      </c>
      <c r="K29" s="19">
        <v>3.019932783514272E-3</v>
      </c>
      <c r="L29" s="16"/>
      <c r="M29" s="21">
        <v>0</v>
      </c>
      <c r="N29" s="18">
        <v>0</v>
      </c>
      <c r="O29" s="130"/>
      <c r="P29" s="16">
        <v>-230</v>
      </c>
      <c r="Q29" s="21">
        <v>-1.0372571493512746E-5</v>
      </c>
      <c r="R29" s="18">
        <v>-2.6346042205901423E-4</v>
      </c>
      <c r="S29" s="130"/>
      <c r="T29" s="16">
        <v>-470</v>
      </c>
      <c r="U29" s="21">
        <v>-2.065791866810399E-5</v>
      </c>
      <c r="V29" s="18">
        <v>-5.4354991291636506E-4</v>
      </c>
      <c r="W29" s="130"/>
      <c r="X29" s="16"/>
      <c r="Y29" s="21">
        <v>0</v>
      </c>
      <c r="Z29" s="18">
        <v>0</v>
      </c>
      <c r="AB29" s="16">
        <v>-222.94</v>
      </c>
      <c r="AC29" s="21">
        <v>-9.4433090127391903E-6</v>
      </c>
      <c r="AD29" s="18">
        <v>-2.6799957204697386E-4</v>
      </c>
      <c r="AF29" s="95"/>
      <c r="AG29" s="100">
        <v>0</v>
      </c>
      <c r="AH29" s="97">
        <v>0</v>
      </c>
      <c r="AJ29" s="95"/>
      <c r="AK29" s="100">
        <v>0</v>
      </c>
      <c r="AL29" s="97">
        <v>0</v>
      </c>
      <c r="AN29" s="95"/>
      <c r="AO29" s="100"/>
      <c r="AP29" s="97"/>
      <c r="AR29" s="95"/>
      <c r="AS29" s="100"/>
      <c r="AT29" s="97"/>
      <c r="AV29" s="95"/>
      <c r="AW29" s="100"/>
      <c r="AX29" s="97"/>
      <c r="AZ29" s="95"/>
      <c r="BA29" s="100"/>
      <c r="BB29" s="97"/>
      <c r="BD29" s="95">
        <v>-5309.7375000000002</v>
      </c>
      <c r="BE29" s="100">
        <v>-2.0682301893989543E-5</v>
      </c>
      <c r="BF29" s="97">
        <v>-5.9612915216341472E-4</v>
      </c>
    </row>
    <row r="30" spans="1:58" ht="15.75" x14ac:dyDescent="0.25">
      <c r="A30" s="182"/>
      <c r="B30" s="15" t="s">
        <v>29</v>
      </c>
      <c r="C30" s="130"/>
      <c r="D30" s="16"/>
      <c r="E30" s="17">
        <v>0</v>
      </c>
      <c r="F30" s="18">
        <v>0</v>
      </c>
      <c r="G30" s="130"/>
      <c r="H30" s="16">
        <v>-4050</v>
      </c>
      <c r="I30" s="21">
        <v>-2.252814015017425E-4</v>
      </c>
      <c r="J30" s="18">
        <v>-5.5967674176929712E-3</v>
      </c>
      <c r="K30" s="19">
        <v>5.5967674176929712E-3</v>
      </c>
      <c r="L30" s="16">
        <v>-7350</v>
      </c>
      <c r="M30" s="21">
        <v>-3.2588672558728226E-4</v>
      </c>
      <c r="N30" s="18">
        <v>-8.1172237548620511E-3</v>
      </c>
      <c r="O30" s="130"/>
      <c r="P30" s="16">
        <v>-5512.5</v>
      </c>
      <c r="Q30" s="21">
        <v>-2.4860347981734354E-4</v>
      </c>
      <c r="R30" s="18">
        <v>-6.3144590286970254E-3</v>
      </c>
      <c r="S30" s="130"/>
      <c r="T30" s="16"/>
      <c r="U30" s="21">
        <v>0</v>
      </c>
      <c r="V30" s="18">
        <v>0</v>
      </c>
      <c r="W30" s="130"/>
      <c r="X30" s="16"/>
      <c r="Y30" s="21">
        <v>0</v>
      </c>
      <c r="Z30" s="18">
        <v>0</v>
      </c>
      <c r="AB30" s="16"/>
      <c r="AC30" s="21">
        <v>0</v>
      </c>
      <c r="AD30" s="18">
        <v>0</v>
      </c>
      <c r="AF30" s="95">
        <v>-2931.2550000000001</v>
      </c>
      <c r="AG30" s="100">
        <v>-1.2321676483286666E-4</v>
      </c>
      <c r="AH30" s="97">
        <v>-3.4745535687827084E-3</v>
      </c>
      <c r="AJ30" s="95"/>
      <c r="AK30" s="100">
        <v>0</v>
      </c>
      <c r="AL30" s="97">
        <v>0</v>
      </c>
      <c r="AN30" s="95"/>
      <c r="AO30" s="100"/>
      <c r="AP30" s="97"/>
      <c r="AR30" s="95"/>
      <c r="AS30" s="100"/>
      <c r="AT30" s="97"/>
      <c r="AV30" s="95"/>
      <c r="AW30" s="100"/>
      <c r="AX30" s="97"/>
      <c r="AZ30" s="95"/>
      <c r="BA30" s="100"/>
      <c r="BB30" s="97"/>
      <c r="BD30" s="95">
        <v>-1944.2191666666668</v>
      </c>
      <c r="BE30" s="100">
        <v>-7.5730538003207821E-6</v>
      </c>
      <c r="BF30" s="97">
        <v>-2.1827928846668233E-4</v>
      </c>
    </row>
    <row r="31" spans="1:58" ht="15.75" x14ac:dyDescent="0.25">
      <c r="A31" s="182"/>
      <c r="B31" s="15" t="s">
        <v>30</v>
      </c>
      <c r="C31" s="130"/>
      <c r="D31" s="16">
        <v>-8676.9530999999988</v>
      </c>
      <c r="E31" s="17">
        <v>-4.4638054772429053E-4</v>
      </c>
      <c r="F31" s="18">
        <v>-1.124296983415979E-2</v>
      </c>
      <c r="G31" s="130"/>
      <c r="H31" s="16">
        <v>-8336.5400000000009</v>
      </c>
      <c r="I31" s="21">
        <v>-4.6372034935193501E-4</v>
      </c>
      <c r="J31" s="18">
        <v>-1.1520413690936831E-2</v>
      </c>
      <c r="K31" s="19">
        <v>1.1520413690936831E-2</v>
      </c>
      <c r="L31" s="16">
        <v>-20251.560000000001</v>
      </c>
      <c r="M31" s="21">
        <v>-8.9792035053529011E-4</v>
      </c>
      <c r="N31" s="18">
        <v>-2.2365502572110767E-2</v>
      </c>
      <c r="O31" s="130"/>
      <c r="P31" s="16">
        <v>-10009.959999999999</v>
      </c>
      <c r="Q31" s="21">
        <v>-4.5143054672696883E-4</v>
      </c>
      <c r="R31" s="18">
        <v>-1.1466209940842825E-2</v>
      </c>
      <c r="S31" s="130"/>
      <c r="T31" s="16">
        <v>-8421.4299999999985</v>
      </c>
      <c r="U31" s="21">
        <v>-3.7014726810453394E-4</v>
      </c>
      <c r="V31" s="18">
        <v>-9.739292644960134E-3</v>
      </c>
      <c r="W31" s="130"/>
      <c r="X31" s="16">
        <v>-5362.3899999999994</v>
      </c>
      <c r="Y31" s="21">
        <v>-2.1353704076548533E-4</v>
      </c>
      <c r="Z31" s="18">
        <v>-6.0528986218861495E-3</v>
      </c>
      <c r="AB31" s="16">
        <v>-5094.13</v>
      </c>
      <c r="AC31" s="21">
        <v>-2.1577753539546557E-4</v>
      </c>
      <c r="AD31" s="18">
        <v>-6.1237313176264957E-3</v>
      </c>
      <c r="AF31" s="95">
        <v>-5198.93</v>
      </c>
      <c r="AG31" s="100">
        <v>-2.1853961364416791E-4</v>
      </c>
      <c r="AH31" s="97">
        <v>-6.1625347454764209E-3</v>
      </c>
      <c r="AJ31" s="95">
        <v>-10893.34</v>
      </c>
      <c r="AK31" s="100">
        <v>-5.0364452396721535E-4</v>
      </c>
      <c r="AL31" s="97">
        <v>-1.3982025321654842E-2</v>
      </c>
      <c r="AN31" s="95"/>
      <c r="AO31" s="100"/>
      <c r="AP31" s="97"/>
      <c r="AR31" s="95"/>
      <c r="AS31" s="100"/>
      <c r="AT31" s="97"/>
      <c r="AV31" s="95"/>
      <c r="AW31" s="100"/>
      <c r="AX31" s="97"/>
      <c r="AZ31" s="95"/>
      <c r="BA31" s="100"/>
      <c r="BB31" s="97"/>
      <c r="BD31" s="95">
        <v>-8978.1410916666664</v>
      </c>
      <c r="BE31" s="100">
        <v>-3.4971337943671007E-5</v>
      </c>
      <c r="BF31" s="97">
        <v>-1.0079842246398744E-3</v>
      </c>
    </row>
    <row r="32" spans="1:58" ht="15.75" x14ac:dyDescent="0.25">
      <c r="A32" s="182"/>
      <c r="B32" s="15" t="s">
        <v>94</v>
      </c>
      <c r="C32" s="130"/>
      <c r="D32" s="16">
        <v>-21055.4</v>
      </c>
      <c r="E32" s="17"/>
      <c r="F32" s="18"/>
      <c r="G32" s="130"/>
      <c r="H32" s="16">
        <v>-36779.270000000004</v>
      </c>
      <c r="I32" s="21"/>
      <c r="J32" s="18"/>
      <c r="K32" s="19">
        <v>5.0825930859884585E-2</v>
      </c>
      <c r="L32" s="16">
        <v>-18447.580000000002</v>
      </c>
      <c r="M32" s="21"/>
      <c r="N32" s="18"/>
      <c r="O32" s="130"/>
      <c r="P32" s="16">
        <v>-27491.34</v>
      </c>
      <c r="Q32" s="21">
        <v>-1.2398082156628986E-3</v>
      </c>
      <c r="R32" s="18">
        <v>-3.1490782779860262E-2</v>
      </c>
      <c r="S32" s="130"/>
      <c r="T32" s="16">
        <v>-27984.460000000003</v>
      </c>
      <c r="U32" s="21">
        <v>-1.2300014864910838E-3</v>
      </c>
      <c r="V32" s="18">
        <v>-3.2363725097896812E-2</v>
      </c>
      <c r="W32" s="130"/>
      <c r="X32" s="16">
        <v>-13091.370000000003</v>
      </c>
      <c r="Y32" s="21">
        <v>-5.2131463943615674E-4</v>
      </c>
      <c r="Z32" s="18">
        <v>-1.4777130240732529E-2</v>
      </c>
      <c r="AB32" s="16">
        <v>-27715.510000000002</v>
      </c>
      <c r="AC32" s="21">
        <v>-1.1739756229284255E-3</v>
      </c>
      <c r="AD32" s="18">
        <v>-3.3317237010243229E-2</v>
      </c>
      <c r="AF32" s="95">
        <v>-32350</v>
      </c>
      <c r="AG32" s="100">
        <v>-1.3598483729130478E-3</v>
      </c>
      <c r="AH32" s="97">
        <v>-3.8345967154041739E-2</v>
      </c>
      <c r="AJ32" s="95">
        <v>-19400</v>
      </c>
      <c r="AK32" s="100">
        <v>-8.9694288115160065E-4</v>
      </c>
      <c r="AL32" s="97">
        <v>-2.4900654091408504E-2</v>
      </c>
      <c r="AN32" s="95"/>
      <c r="AO32" s="100"/>
      <c r="AP32" s="97"/>
      <c r="AR32" s="95"/>
      <c r="AS32" s="100"/>
      <c r="AT32" s="97"/>
      <c r="AV32" s="95"/>
      <c r="AW32" s="100"/>
      <c r="AX32" s="97"/>
      <c r="AZ32" s="95"/>
      <c r="BA32" s="100"/>
      <c r="BB32" s="97"/>
      <c r="BD32" s="95">
        <v>-31967.579166666663</v>
      </c>
      <c r="BE32" s="100">
        <v>-1.2451898481704801E-4</v>
      </c>
      <c r="BF32" s="97">
        <v>-3.5890297524768101E-3</v>
      </c>
    </row>
    <row r="33" spans="1:58" ht="15.75" x14ac:dyDescent="0.25">
      <c r="A33" s="182"/>
      <c r="B33" s="15" t="s">
        <v>14</v>
      </c>
      <c r="C33" s="130"/>
      <c r="D33" s="16">
        <v>-248934.34999999995</v>
      </c>
      <c r="E33" s="17">
        <v>-1.2806275454040455E-2</v>
      </c>
      <c r="F33" s="18">
        <v>-0.32255117153234064</v>
      </c>
      <c r="G33" s="130"/>
      <c r="H33" s="16">
        <v>-169838.60999900001</v>
      </c>
      <c r="I33" s="21">
        <v>-9.447279034489527E-3</v>
      </c>
      <c r="J33" s="18">
        <v>-0.23470301202683133</v>
      </c>
      <c r="K33" s="19">
        <v>0.23470301202683133</v>
      </c>
      <c r="L33" s="16">
        <v>-385532.29130400001</v>
      </c>
      <c r="M33" s="21">
        <v>-1.7093857962071132E-2</v>
      </c>
      <c r="N33" s="18">
        <v>-0.42577576506656123</v>
      </c>
      <c r="O33" s="130"/>
      <c r="P33" s="16">
        <v>-292283.67000000004</v>
      </c>
      <c r="Q33" s="21">
        <v>-1.3181448971570814E-2</v>
      </c>
      <c r="R33" s="18">
        <v>-0.33480512634416365</v>
      </c>
      <c r="S33" s="130"/>
      <c r="T33" s="16">
        <v>-293231.83999800007</v>
      </c>
      <c r="U33" s="21">
        <v>-1.2888424471440781E-2</v>
      </c>
      <c r="V33" s="18">
        <v>-0.33911944913876257</v>
      </c>
      <c r="W33" s="130"/>
      <c r="X33" s="16">
        <v>-251809.87000199995</v>
      </c>
      <c r="Y33" s="21">
        <v>-1.0027382282110893E-2</v>
      </c>
      <c r="Z33" s="18">
        <v>-0.28423512931965711</v>
      </c>
      <c r="AB33" s="16">
        <v>-366161.53720000002</v>
      </c>
      <c r="AC33" s="21">
        <v>-1.5509897480753551E-2</v>
      </c>
      <c r="AD33" s="18">
        <v>-0.44016836489486905</v>
      </c>
      <c r="AF33" s="95">
        <v>-317621.91999900003</v>
      </c>
      <c r="AG33" s="100">
        <v>-1.3351395706712781E-2</v>
      </c>
      <c r="AH33" s="97">
        <v>-0.37649210855286946</v>
      </c>
      <c r="AJ33" s="95">
        <v>-333030.379999</v>
      </c>
      <c r="AK33" s="100">
        <v>-1.5397382914810076E-2</v>
      </c>
      <c r="AL33" s="97">
        <v>-0.42745743784976437</v>
      </c>
      <c r="AN33" s="95"/>
      <c r="AO33" s="100"/>
      <c r="AP33" s="97"/>
      <c r="AR33" s="95"/>
      <c r="AS33" s="100"/>
      <c r="AT33" s="97"/>
      <c r="AV33" s="95"/>
      <c r="AW33" s="100"/>
      <c r="AX33" s="97"/>
      <c r="AZ33" s="95"/>
      <c r="BA33" s="100"/>
      <c r="BB33" s="97"/>
      <c r="BD33" s="95">
        <v>-305641.45559141674</v>
      </c>
      <c r="BE33" s="100">
        <v>-1.1905237981840117E-3</v>
      </c>
      <c r="BF33" s="97">
        <v>-3.4314649601360374E-2</v>
      </c>
    </row>
    <row r="34" spans="1:58" ht="15.75" x14ac:dyDescent="0.25">
      <c r="A34" s="182"/>
      <c r="B34" s="15" t="s">
        <v>118</v>
      </c>
      <c r="C34" s="130"/>
      <c r="D34" s="16"/>
      <c r="E34" s="17"/>
      <c r="F34" s="18"/>
      <c r="G34" s="130"/>
      <c r="H34" s="16"/>
      <c r="I34" s="21"/>
      <c r="J34" s="18"/>
      <c r="K34" s="19"/>
      <c r="L34" s="16"/>
      <c r="M34" s="21"/>
      <c r="N34" s="18"/>
      <c r="O34" s="130"/>
      <c r="P34" s="16"/>
      <c r="Q34" s="21"/>
      <c r="R34" s="18"/>
      <c r="S34" s="130"/>
      <c r="T34" s="16"/>
      <c r="U34" s="21"/>
      <c r="V34" s="18"/>
      <c r="W34" s="130"/>
      <c r="X34" s="16">
        <v>-15744.826788</v>
      </c>
      <c r="Y34" s="21"/>
      <c r="Z34" s="18"/>
      <c r="AB34" s="16">
        <v>-3328.9797739999999</v>
      </c>
      <c r="AC34" s="21"/>
      <c r="AD34" s="18"/>
      <c r="AF34" s="95">
        <v>-5040.528609</v>
      </c>
      <c r="AG34" s="100"/>
      <c r="AH34" s="97"/>
      <c r="AJ34" s="95">
        <v>-4744.2609809999994</v>
      </c>
      <c r="AK34" s="100">
        <v>-2.1934696459965252E-4</v>
      </c>
      <c r="AL34" s="97">
        <v>-6.0894433818168741E-3</v>
      </c>
      <c r="AN34" s="95"/>
      <c r="AO34" s="100"/>
      <c r="AP34" s="97"/>
      <c r="AR34" s="95"/>
      <c r="AS34" s="100"/>
      <c r="AT34" s="97"/>
      <c r="AV34" s="95"/>
      <c r="AW34" s="100"/>
      <c r="AX34" s="97"/>
      <c r="AZ34" s="95"/>
      <c r="BA34" s="100"/>
      <c r="BB34" s="97"/>
      <c r="BD34" s="95">
        <v>-4740.4818369166669</v>
      </c>
      <c r="BE34" s="100">
        <v>-1.846495734941409E-5</v>
      </c>
      <c r="BF34" s="97">
        <v>-5.3221829107130052E-4</v>
      </c>
    </row>
    <row r="35" spans="1:58" ht="15.75" x14ac:dyDescent="0.25">
      <c r="A35" s="182"/>
      <c r="B35" s="15" t="s">
        <v>31</v>
      </c>
      <c r="C35" s="130"/>
      <c r="D35" s="16">
        <v>-59950.079999999987</v>
      </c>
      <c r="E35" s="17">
        <v>-3.0840952161554306E-3</v>
      </c>
      <c r="F35" s="18">
        <v>-7.7678988606664945E-2</v>
      </c>
      <c r="G35" s="130"/>
      <c r="H35" s="16">
        <v>-66899.62</v>
      </c>
      <c r="I35" s="21">
        <v>-3.7212938650701241E-3</v>
      </c>
      <c r="J35" s="18">
        <v>-9.2449781104207651E-2</v>
      </c>
      <c r="K35" s="19">
        <v>9.2449781104207651E-2</v>
      </c>
      <c r="L35" s="16">
        <v>-60688.100000000013</v>
      </c>
      <c r="M35" s="21">
        <v>-2.6908090055936798E-3</v>
      </c>
      <c r="N35" s="18">
        <v>-6.7022977817339291E-2</v>
      </c>
      <c r="O35" s="130"/>
      <c r="P35" s="16"/>
      <c r="Q35" s="21">
        <v>0</v>
      </c>
      <c r="R35" s="18">
        <v>0</v>
      </c>
      <c r="S35" s="130"/>
      <c r="T35" s="16"/>
      <c r="U35" s="21">
        <v>0</v>
      </c>
      <c r="V35" s="18">
        <v>0</v>
      </c>
      <c r="W35" s="130"/>
      <c r="X35" s="16"/>
      <c r="Y35" s="21"/>
      <c r="Z35" s="18">
        <v>0</v>
      </c>
      <c r="AB35" s="16"/>
      <c r="AC35" s="21">
        <v>0</v>
      </c>
      <c r="AD35" s="18">
        <v>0</v>
      </c>
      <c r="AF35" s="95">
        <v>0</v>
      </c>
      <c r="AG35" s="100"/>
      <c r="AH35" s="97">
        <v>0</v>
      </c>
      <c r="AJ35" s="95"/>
      <c r="AK35" s="100">
        <v>0</v>
      </c>
      <c r="AL35" s="97">
        <v>0</v>
      </c>
      <c r="AN35" s="95"/>
      <c r="AO35" s="100"/>
      <c r="AP35" s="97"/>
      <c r="AR35" s="95"/>
      <c r="AS35" s="100"/>
      <c r="AT35" s="97"/>
      <c r="AV35" s="95"/>
      <c r="AW35" s="100"/>
      <c r="AX35" s="97"/>
      <c r="AZ35" s="95"/>
      <c r="BA35" s="100"/>
      <c r="BB35" s="97"/>
      <c r="BD35" s="95">
        <v>-15628.15</v>
      </c>
      <c r="BE35" s="100">
        <v>-6.0874217669809972E-5</v>
      </c>
      <c r="BF35" s="97">
        <v>-1.7545868904786102E-3</v>
      </c>
    </row>
    <row r="36" spans="1:58" ht="15.75" x14ac:dyDescent="0.25">
      <c r="A36" s="182"/>
      <c r="B36" s="15" t="s">
        <v>32</v>
      </c>
      <c r="C36" s="130"/>
      <c r="D36" s="16">
        <v>-52416.44</v>
      </c>
      <c r="E36" s="17">
        <v>-2.6965317119159505E-3</v>
      </c>
      <c r="F36" s="18">
        <v>-6.7917441403947051E-2</v>
      </c>
      <c r="G36" s="130"/>
      <c r="H36" s="16">
        <v>-124769.85</v>
      </c>
      <c r="I36" s="21">
        <v>-6.9403275736202932E-3</v>
      </c>
      <c r="J36" s="18">
        <v>-0.17242168671368874</v>
      </c>
      <c r="K36" s="19">
        <v>0.17242168671368874</v>
      </c>
      <c r="L36" s="16">
        <v>-158559.84000000003</v>
      </c>
      <c r="M36" s="21">
        <v>-7.0302785125501204E-3</v>
      </c>
      <c r="N36" s="18">
        <v>-0.17511097956668384</v>
      </c>
      <c r="O36" s="130"/>
      <c r="P36" s="16">
        <v>-228951.48</v>
      </c>
      <c r="Q36" s="21">
        <v>-1.0325285194980669E-2</v>
      </c>
      <c r="R36" s="18">
        <v>-0.26225936326885196</v>
      </c>
      <c r="S36" s="130"/>
      <c r="T36" s="16">
        <v>-201161.13</v>
      </c>
      <c r="U36" s="21">
        <v>-8.841638856859348E-3</v>
      </c>
      <c r="V36" s="18">
        <v>-0.2326406695609736</v>
      </c>
      <c r="W36" s="130"/>
      <c r="X36" s="16">
        <v>-176996.39</v>
      </c>
      <c r="Y36" s="21">
        <v>-7.0482164383369635E-3</v>
      </c>
      <c r="Z36" s="18">
        <v>-0.19978800592829385</v>
      </c>
      <c r="AB36" s="16">
        <v>-225689.53999999998</v>
      </c>
      <c r="AC36" s="21">
        <v>-9.5597742314656939E-3</v>
      </c>
      <c r="AD36" s="18">
        <v>-0.27130483598940691</v>
      </c>
      <c r="AF36" s="95">
        <v>-216584.80000000002</v>
      </c>
      <c r="AG36" s="100">
        <v>-9.1042500116753598E-3</v>
      </c>
      <c r="AH36" s="97">
        <v>-0.25672808738376196</v>
      </c>
      <c r="AJ36" s="95">
        <v>-209302.99000000002</v>
      </c>
      <c r="AK36" s="100">
        <v>-9.6769498393940567E-3</v>
      </c>
      <c r="AL36" s="97">
        <v>-0.26864852341688317</v>
      </c>
      <c r="AN36" s="95"/>
      <c r="AO36" s="100"/>
      <c r="AP36" s="97"/>
      <c r="AR36" s="95"/>
      <c r="AS36" s="100"/>
      <c r="AT36" s="97"/>
      <c r="AV36" s="95"/>
      <c r="AW36" s="100"/>
      <c r="AX36" s="97"/>
      <c r="AZ36" s="95"/>
      <c r="BA36" s="100"/>
      <c r="BB36" s="97"/>
      <c r="BD36" s="95">
        <v>-180526.26833333331</v>
      </c>
      <c r="BE36" s="100">
        <v>-7.0317954163748471E-4</v>
      </c>
      <c r="BF36" s="97">
        <v>-2.0267851524632827E-2</v>
      </c>
    </row>
    <row r="37" spans="1:58" ht="15.75" x14ac:dyDescent="0.25">
      <c r="A37" s="182"/>
      <c r="B37" s="15" t="s">
        <v>95</v>
      </c>
      <c r="C37" s="130"/>
      <c r="D37" s="16">
        <v>-3966.2799999999997</v>
      </c>
      <c r="E37" s="17">
        <v>-2.0404284988331898E-4</v>
      </c>
      <c r="F37" s="18">
        <v>-5.1392194794542909E-3</v>
      </c>
      <c r="G37" s="130"/>
      <c r="H37" s="16">
        <v>-5509.99</v>
      </c>
      <c r="I37" s="21">
        <v>-3.064933998668114E-4</v>
      </c>
      <c r="J37" s="18">
        <v>-7.6143537046454548E-3</v>
      </c>
      <c r="K37" s="19">
        <v>7.6143537046454548E-3</v>
      </c>
      <c r="L37" s="16">
        <v>-4288</v>
      </c>
      <c r="M37" s="21">
        <v>-1.9012275909092058E-4</v>
      </c>
      <c r="N37" s="18">
        <v>-4.7355993824283642E-3</v>
      </c>
      <c r="O37" s="130"/>
      <c r="P37" s="16">
        <v>-2473.04</v>
      </c>
      <c r="Q37" s="21">
        <v>-1.1152949654920331E-4</v>
      </c>
      <c r="R37" s="18">
        <v>-2.8328180963861933E-3</v>
      </c>
      <c r="S37" s="130"/>
      <c r="T37" s="16">
        <v>-984</v>
      </c>
      <c r="U37" s="21">
        <v>-4.3249770147690052E-5</v>
      </c>
      <c r="V37" s="18">
        <v>-1.1379853495951131E-3</v>
      </c>
      <c r="W37" s="130"/>
      <c r="X37" s="16">
        <v>-894.53160000000003</v>
      </c>
      <c r="Y37" s="21">
        <v>-3.5621361134720683E-5</v>
      </c>
      <c r="Z37" s="18">
        <v>-1.0097193767841601E-3</v>
      </c>
      <c r="AB37" s="16">
        <v>-2511.04</v>
      </c>
      <c r="AC37" s="21">
        <v>-1.0636281808266178E-4</v>
      </c>
      <c r="AD37" s="18">
        <v>-3.0185594572209257E-3</v>
      </c>
      <c r="AF37" s="95">
        <v>-6907.41</v>
      </c>
      <c r="AG37" s="100">
        <v>-2.9035642193333281E-4</v>
      </c>
      <c r="AH37" s="97">
        <v>-8.1876759499072468E-3</v>
      </c>
      <c r="AJ37" s="95">
        <v>-5166.6499999999996</v>
      </c>
      <c r="AK37" s="100">
        <v>-2.3887576994339779E-4</v>
      </c>
      <c r="AL37" s="97">
        <v>-6.6315961062564811E-3</v>
      </c>
      <c r="AN37" s="95"/>
      <c r="AO37" s="100"/>
      <c r="AP37" s="97"/>
      <c r="AR37" s="95"/>
      <c r="AS37" s="100"/>
      <c r="AT37" s="97"/>
      <c r="AV37" s="95"/>
      <c r="AW37" s="100"/>
      <c r="AX37" s="97"/>
      <c r="AZ37" s="95"/>
      <c r="BA37" s="100"/>
      <c r="BB37" s="97"/>
      <c r="BD37" s="95">
        <v>-4655.3201333333336</v>
      </c>
      <c r="BE37" s="100">
        <v>-1.8133238490747923E-5</v>
      </c>
      <c r="BF37" s="97">
        <v>-5.2265710765047701E-4</v>
      </c>
    </row>
    <row r="38" spans="1:58" ht="15.75" x14ac:dyDescent="0.25">
      <c r="A38" s="182"/>
      <c r="B38" s="15" t="s">
        <v>33</v>
      </c>
      <c r="C38" s="130"/>
      <c r="D38" s="16">
        <v>-51698.40963300001</v>
      </c>
      <c r="E38" s="17">
        <v>-2.6595930786410824E-3</v>
      </c>
      <c r="F38" s="18">
        <v>-6.6987069456195994E-2</v>
      </c>
      <c r="G38" s="130"/>
      <c r="H38" s="16">
        <v>-9136.386050000001</v>
      </c>
      <c r="I38" s="21">
        <v>-5.0821181580369614E-4</v>
      </c>
      <c r="J38" s="18">
        <v>-1.262573524940854E-2</v>
      </c>
      <c r="K38" s="19">
        <v>1.262573524940854E-2</v>
      </c>
      <c r="L38" s="16">
        <v>-20586.046759999997</v>
      </c>
      <c r="M38" s="21">
        <v>-9.1275093488477272E-4</v>
      </c>
      <c r="N38" s="18">
        <v>-2.273490445972421E-2</v>
      </c>
      <c r="O38" s="130"/>
      <c r="P38" s="16">
        <v>-8459.4209419999988</v>
      </c>
      <c r="Q38" s="21">
        <v>-3.8150412397658227E-4</v>
      </c>
      <c r="R38" s="18">
        <v>-9.6900983119747094E-3</v>
      </c>
      <c r="S38" s="130"/>
      <c r="T38" s="16">
        <v>-2639.262894</v>
      </c>
      <c r="U38" s="21">
        <v>-1.1600357065531225E-4</v>
      </c>
      <c r="V38" s="18">
        <v>-3.0522789706321136E-3</v>
      </c>
      <c r="W38" s="130"/>
      <c r="X38" s="16"/>
      <c r="Y38" s="21">
        <v>0</v>
      </c>
      <c r="Z38" s="18">
        <v>0</v>
      </c>
      <c r="AB38" s="16"/>
      <c r="AC38" s="21">
        <v>0</v>
      </c>
      <c r="AD38" s="18">
        <v>0</v>
      </c>
      <c r="AF38" s="95">
        <v>-867.69</v>
      </c>
      <c r="AG38" s="100">
        <v>-3.6473781597926511E-5</v>
      </c>
      <c r="AH38" s="97">
        <v>-1.0285135159162435E-3</v>
      </c>
      <c r="AJ38" s="95"/>
      <c r="AK38" s="100">
        <v>0</v>
      </c>
      <c r="AL38" s="97">
        <v>0</v>
      </c>
      <c r="AN38" s="95"/>
      <c r="AO38" s="100"/>
      <c r="AP38" s="97"/>
      <c r="AR38" s="95"/>
      <c r="AS38" s="100"/>
      <c r="AT38" s="97"/>
      <c r="AV38" s="95"/>
      <c r="AW38" s="100"/>
      <c r="AX38" s="97"/>
      <c r="AZ38" s="95"/>
      <c r="BA38" s="100"/>
      <c r="BB38" s="97"/>
      <c r="BD38" s="95">
        <v>-7799.5096899166665</v>
      </c>
      <c r="BE38" s="100">
        <v>-3.0380374553723842E-5</v>
      </c>
      <c r="BF38" s="97">
        <v>-8.756581843717057E-4</v>
      </c>
    </row>
    <row r="39" spans="1:58" ht="15.75" x14ac:dyDescent="0.25">
      <c r="A39" s="182"/>
      <c r="B39" s="112" t="s">
        <v>155</v>
      </c>
      <c r="C39" s="2"/>
      <c r="D39" s="16"/>
      <c r="E39" s="17"/>
      <c r="F39" s="18"/>
      <c r="G39" s="2"/>
      <c r="H39" s="16"/>
      <c r="I39" s="21"/>
      <c r="J39" s="18"/>
      <c r="K39" s="19"/>
      <c r="L39" s="16"/>
      <c r="M39" s="21"/>
      <c r="N39" s="18"/>
      <c r="O39" s="2"/>
      <c r="P39" s="16"/>
      <c r="Q39" s="21"/>
      <c r="R39" s="18"/>
      <c r="S39" s="2"/>
      <c r="T39" s="16"/>
      <c r="U39" s="21"/>
      <c r="V39" s="18"/>
      <c r="W39" s="2"/>
      <c r="X39" s="16"/>
      <c r="Y39" s="21"/>
      <c r="Z39" s="18"/>
      <c r="AB39" s="16"/>
      <c r="AC39" s="21"/>
      <c r="AD39" s="18"/>
      <c r="AF39" s="95"/>
      <c r="AG39" s="100"/>
      <c r="AH39" s="97"/>
      <c r="AJ39" s="95">
        <v>-6925</v>
      </c>
      <c r="AK39" s="100">
        <v>-3.2017162123581622E-4</v>
      </c>
      <c r="AL39" s="97">
        <v>-8.8885066795362823E-3</v>
      </c>
      <c r="AN39" s="95"/>
      <c r="AO39" s="100"/>
      <c r="AP39" s="97"/>
      <c r="AR39" s="95"/>
      <c r="AS39" s="100"/>
      <c r="AT39" s="97"/>
      <c r="AV39" s="95"/>
      <c r="AW39" s="100"/>
      <c r="AX39" s="97"/>
      <c r="AZ39" s="95"/>
      <c r="BA39" s="100"/>
      <c r="BB39" s="97"/>
      <c r="BD39" s="95">
        <v>-3100.2991666666671</v>
      </c>
      <c r="BE39" s="100">
        <v>-1.207617576700999E-5</v>
      </c>
      <c r="BF39" s="97">
        <v>-3.4807346195135663E-4</v>
      </c>
    </row>
    <row r="40" spans="1:58" ht="15.75" x14ac:dyDescent="0.25">
      <c r="A40" s="182"/>
      <c r="B40" s="15" t="s">
        <v>34</v>
      </c>
      <c r="C40" s="130"/>
      <c r="D40" s="16">
        <v>-8792.9196330000013</v>
      </c>
      <c r="E40" s="17">
        <v>-4.5234637512034137E-4</v>
      </c>
      <c r="F40" s="18">
        <v>-1.1393230901295341E-2</v>
      </c>
      <c r="G40" s="130"/>
      <c r="H40" s="16">
        <v>-426.74</v>
      </c>
      <c r="I40" s="21">
        <v>-2.3737428463420644E-5</v>
      </c>
      <c r="J40" s="18">
        <v>-5.897196365003206E-4</v>
      </c>
      <c r="K40" s="19">
        <v>5.897196365003206E-4</v>
      </c>
      <c r="L40" s="16">
        <v>-39418.007364999998</v>
      </c>
      <c r="M40" s="21">
        <v>-1.7477286189598944E-3</v>
      </c>
      <c r="N40" s="18">
        <v>-4.3532623911905481E-2</v>
      </c>
      <c r="O40" s="130"/>
      <c r="P40" s="16">
        <v>-11452.58561</v>
      </c>
      <c r="Q40" s="21">
        <v>-5.1649027402304469E-4</v>
      </c>
      <c r="R40" s="18">
        <v>-1.3118708862946055E-2</v>
      </c>
      <c r="S40" s="130"/>
      <c r="T40" s="16">
        <v>-10004.270523000001</v>
      </c>
      <c r="U40" s="21">
        <v>-4.3971788680392381E-4</v>
      </c>
      <c r="V40" s="18">
        <v>-1.1569830577805123E-2</v>
      </c>
      <c r="W40" s="130"/>
      <c r="X40" s="16">
        <v>-35487.545899999997</v>
      </c>
      <c r="Y40" s="21">
        <v>-1.4131582252531675E-3</v>
      </c>
      <c r="Z40" s="18">
        <v>-4.005723523880797E-2</v>
      </c>
      <c r="AB40" s="16">
        <v>-42394.86</v>
      </c>
      <c r="AC40" s="21">
        <v>-1.7957646161829023E-3</v>
      </c>
      <c r="AD40" s="18">
        <v>-5.0963507387599222E-2</v>
      </c>
      <c r="AF40" s="95">
        <v>-38399.360000000001</v>
      </c>
      <c r="AG40" s="100">
        <v>-1.6141362354529327E-3</v>
      </c>
      <c r="AH40" s="97">
        <v>-4.5516556330640619E-2</v>
      </c>
      <c r="AJ40" s="95">
        <v>-36295.47</v>
      </c>
      <c r="AK40" s="100">
        <v>-1.678090898688221E-3</v>
      </c>
      <c r="AL40" s="97">
        <v>-4.6586646575004879E-2</v>
      </c>
      <c r="AN40" s="95"/>
      <c r="AO40" s="100"/>
      <c r="AP40" s="97"/>
      <c r="AR40" s="95"/>
      <c r="AS40" s="100"/>
      <c r="AT40" s="97"/>
      <c r="AV40" s="95"/>
      <c r="AW40" s="100"/>
      <c r="AX40" s="97"/>
      <c r="AZ40" s="95"/>
      <c r="BA40" s="100"/>
      <c r="BB40" s="97"/>
      <c r="BD40" s="95">
        <v>-18755.97991925</v>
      </c>
      <c r="BE40" s="100">
        <v>-7.3057630251501896E-5</v>
      </c>
      <c r="BF40" s="97">
        <v>-2.1057512555482326E-3</v>
      </c>
    </row>
    <row r="41" spans="1:58" ht="15.75" x14ac:dyDescent="0.25">
      <c r="A41" s="182"/>
      <c r="B41" s="15" t="s">
        <v>35</v>
      </c>
      <c r="C41" s="130"/>
      <c r="D41" s="16">
        <v>-10144.926200000002</v>
      </c>
      <c r="E41" s="17">
        <v>-5.2189952643382463E-4</v>
      </c>
      <c r="F41" s="18">
        <v>-1.3145063471229013E-2</v>
      </c>
      <c r="G41" s="130"/>
      <c r="H41" s="16">
        <v>-7997.43</v>
      </c>
      <c r="I41" s="21">
        <v>-4.4485734291656315E-4</v>
      </c>
      <c r="J41" s="18">
        <v>-1.1051791518340815E-2</v>
      </c>
      <c r="K41" s="19">
        <v>1.1051791518340815E-2</v>
      </c>
      <c r="L41" s="16">
        <v>-11835.57</v>
      </c>
      <c r="M41" s="21">
        <v>-5.24769408538649E-4</v>
      </c>
      <c r="N41" s="18">
        <v>-1.3071016320589476E-2</v>
      </c>
      <c r="O41" s="130"/>
      <c r="P41" s="16">
        <v>-14335.613333000003</v>
      </c>
      <c r="Q41" s="21">
        <v>-6.465094530430308E-4</v>
      </c>
      <c r="R41" s="18">
        <v>-1.6421159735595707E-2</v>
      </c>
      <c r="S41" s="130"/>
      <c r="T41" s="16">
        <v>-30588.329999000005</v>
      </c>
      <c r="U41" s="21">
        <v>-1.3444494325797181E-3</v>
      </c>
      <c r="V41" s="18">
        <v>-3.5375072568539334E-2</v>
      </c>
      <c r="W41" s="130"/>
      <c r="X41" s="16">
        <v>-1134.68</v>
      </c>
      <c r="Y41" s="21">
        <v>-4.5184369174152003E-5</v>
      </c>
      <c r="Z41" s="18">
        <v>-1.2807914023936673E-3</v>
      </c>
      <c r="AB41" s="16">
        <v>-11195.709999000001</v>
      </c>
      <c r="AC41" s="21">
        <v>-4.742287123780882E-4</v>
      </c>
      <c r="AD41" s="18">
        <v>-1.3458533634583414E-2</v>
      </c>
      <c r="AF41" s="95">
        <v>-12890.490002000002</v>
      </c>
      <c r="AG41" s="100">
        <v>-5.4185817172400664E-4</v>
      </c>
      <c r="AH41" s="97">
        <v>-1.5279700346713925E-2</v>
      </c>
      <c r="AJ41" s="95">
        <v>-20223.36</v>
      </c>
      <c r="AK41" s="100">
        <v>-9.3501024664773382E-4</v>
      </c>
      <c r="AL41" s="97">
        <v>-2.5957468655980778E-2</v>
      </c>
      <c r="AN41" s="95"/>
      <c r="AO41" s="100"/>
      <c r="AP41" s="97"/>
      <c r="AR41" s="95"/>
      <c r="AS41" s="100"/>
      <c r="AT41" s="97"/>
      <c r="AV41" s="95"/>
      <c r="AW41" s="100"/>
      <c r="AX41" s="97"/>
      <c r="AZ41" s="95"/>
      <c r="BA41" s="100"/>
      <c r="BB41" s="97"/>
      <c r="BD41" s="95">
        <v>-13114.381627583336</v>
      </c>
      <c r="BE41" s="100">
        <v>-5.1082675927890688E-5</v>
      </c>
      <c r="BF41" s="97">
        <v>-1.4723637846124629E-3</v>
      </c>
    </row>
    <row r="42" spans="1:58" ht="15.75" x14ac:dyDescent="0.25">
      <c r="A42" s="182"/>
      <c r="B42" s="15" t="s">
        <v>96</v>
      </c>
      <c r="C42" s="130"/>
      <c r="D42" s="16"/>
      <c r="E42" s="17">
        <v>0</v>
      </c>
      <c r="F42" s="18">
        <v>0</v>
      </c>
      <c r="G42" s="130"/>
      <c r="H42" s="16"/>
      <c r="I42" s="21">
        <v>0</v>
      </c>
      <c r="J42" s="18">
        <v>0</v>
      </c>
      <c r="K42" s="19">
        <v>0</v>
      </c>
      <c r="L42" s="16">
        <v>-6588.67</v>
      </c>
      <c r="M42" s="21">
        <v>-2.9213062479934137E-4</v>
      </c>
      <c r="N42" s="18">
        <v>-7.2764229438023065E-3</v>
      </c>
      <c r="O42" s="130"/>
      <c r="P42" s="16">
        <v>-3943.2</v>
      </c>
      <c r="Q42" s="21">
        <v>-1.7783097353573678E-4</v>
      </c>
      <c r="R42" s="18">
        <v>-4.5168571141874121E-3</v>
      </c>
      <c r="S42" s="130"/>
      <c r="T42" s="16">
        <v>-748.76</v>
      </c>
      <c r="U42" s="21">
        <v>-3.2910262089211792E-5</v>
      </c>
      <c r="V42" s="18">
        <v>-8.6593283573459039E-4</v>
      </c>
      <c r="W42" s="130"/>
      <c r="X42" s="16">
        <v>-4300.3200000000006</v>
      </c>
      <c r="Y42" s="21">
        <v>-1.7124409212023598E-4</v>
      </c>
      <c r="Z42" s="18">
        <v>-4.8540671233665315E-3</v>
      </c>
      <c r="AB42" s="16">
        <v>-6253.1100000000006</v>
      </c>
      <c r="AC42" s="21">
        <v>-2.6486969597492406E-4</v>
      </c>
      <c r="AD42" s="18">
        <v>-7.5169588407762306E-3</v>
      </c>
      <c r="AF42" s="95">
        <v>-1677.7800000000002</v>
      </c>
      <c r="AG42" s="100">
        <v>-7.0526318488595165E-5</v>
      </c>
      <c r="AH42" s="97">
        <v>-1.9887510594036521E-3</v>
      </c>
      <c r="AJ42" s="95">
        <v>-80</v>
      </c>
      <c r="AK42" s="100">
        <v>-3.6987335305220647E-6</v>
      </c>
      <c r="AL42" s="97">
        <v>-1.026831096552928E-4</v>
      </c>
      <c r="AN42" s="95"/>
      <c r="AO42" s="100"/>
      <c r="AP42" s="97"/>
      <c r="AR42" s="95"/>
      <c r="AS42" s="100"/>
      <c r="AT42" s="97"/>
      <c r="AV42" s="95"/>
      <c r="AW42" s="100"/>
      <c r="AX42" s="97"/>
      <c r="AZ42" s="95"/>
      <c r="BA42" s="100"/>
      <c r="BB42" s="97"/>
      <c r="BD42" s="95">
        <v>-2130.46</v>
      </c>
      <c r="BE42" s="100">
        <v>-8.2984925136259477E-6</v>
      </c>
      <c r="BF42" s="97">
        <v>-2.3918871950224819E-4</v>
      </c>
    </row>
    <row r="43" spans="1:58" ht="15.75" x14ac:dyDescent="0.25">
      <c r="A43" s="182"/>
      <c r="B43" s="15" t="s">
        <v>36</v>
      </c>
      <c r="C43" s="130"/>
      <c r="D43" s="16">
        <v>-47803.947992000016</v>
      </c>
      <c r="E43" s="17">
        <v>-2.4592448803316073E-3</v>
      </c>
      <c r="F43" s="18">
        <v>-6.1940907025047738E-2</v>
      </c>
      <c r="G43" s="130"/>
      <c r="H43" s="16">
        <v>-35248.209999000006</v>
      </c>
      <c r="I43" s="21">
        <v>-1.9606829997536926E-3</v>
      </c>
      <c r="J43" s="18">
        <v>-4.8710131667753787E-2</v>
      </c>
      <c r="K43" s="19">
        <v>4.8710131667753787E-2</v>
      </c>
      <c r="L43" s="16">
        <v>-45569.149518000006</v>
      </c>
      <c r="M43" s="21">
        <v>-2.0204599896895652E-3</v>
      </c>
      <c r="N43" s="18">
        <v>-5.0325848021274863E-2</v>
      </c>
      <c r="O43" s="130"/>
      <c r="P43" s="16">
        <v>-28894.404778</v>
      </c>
      <c r="Q43" s="21">
        <v>-1.3030838231404404E-3</v>
      </c>
      <c r="R43" s="18">
        <v>-3.3097965556329899E-2</v>
      </c>
      <c r="S43" s="130"/>
      <c r="T43" s="16">
        <v>-17556.485079999999</v>
      </c>
      <c r="U43" s="21">
        <v>-7.7166051251153426E-4</v>
      </c>
      <c r="V43" s="18">
        <v>-2.0303884970960556E-2</v>
      </c>
      <c r="W43" s="130"/>
      <c r="X43" s="16">
        <v>-37310.262934999999</v>
      </c>
      <c r="Y43" s="21">
        <v>-1.4857410850986357E-3</v>
      </c>
      <c r="Z43" s="18">
        <v>-4.2114661391929979E-2</v>
      </c>
      <c r="AB43" s="16">
        <v>-71375.193643000006</v>
      </c>
      <c r="AC43" s="21">
        <v>-3.0233157325511213E-3</v>
      </c>
      <c r="AD43" s="18">
        <v>-8.580120817750915E-2</v>
      </c>
      <c r="AF43" s="95">
        <v>-56885.175006999983</v>
      </c>
      <c r="AG43" s="100">
        <v>-2.3911966824155459E-3</v>
      </c>
      <c r="AH43" s="97">
        <v>-6.7428656951169619E-2</v>
      </c>
      <c r="AJ43" s="95">
        <v>-44510.713457000005</v>
      </c>
      <c r="AK43" s="100">
        <v>-2.0579158541358202E-3</v>
      </c>
      <c r="AL43" s="97">
        <v>-5.7131230884255604E-2</v>
      </c>
      <c r="AN43" s="95"/>
      <c r="AO43" s="100"/>
      <c r="AP43" s="97"/>
      <c r="AR43" s="95"/>
      <c r="AS43" s="100"/>
      <c r="AT43" s="97"/>
      <c r="AV43" s="95"/>
      <c r="AW43" s="100"/>
      <c r="AX43" s="97"/>
      <c r="AZ43" s="95"/>
      <c r="BA43" s="100"/>
      <c r="BB43" s="97"/>
      <c r="BD43" s="95">
        <v>-50228.70965341667</v>
      </c>
      <c r="BE43" s="100">
        <v>-1.9564909504424848E-4</v>
      </c>
      <c r="BF43" s="97">
        <v>-5.6392238034278725E-3</v>
      </c>
    </row>
    <row r="44" spans="1:58" ht="15.75" x14ac:dyDescent="0.25">
      <c r="A44" s="182"/>
      <c r="B44" s="15" t="s">
        <v>37</v>
      </c>
      <c r="C44" s="130"/>
      <c r="D44" s="16">
        <v>-115532.06682799995</v>
      </c>
      <c r="E44" s="17">
        <v>-5.943476549435534E-3</v>
      </c>
      <c r="F44" s="18">
        <v>-0.14969811721413323</v>
      </c>
      <c r="G44" s="130"/>
      <c r="H44" s="16">
        <v>-200662.06980299999</v>
      </c>
      <c r="I44" s="21">
        <v>-1.1161835139126006E-2</v>
      </c>
      <c r="J44" s="18">
        <v>-0.2772985022815464</v>
      </c>
      <c r="K44" s="19">
        <v>0.2772985022815464</v>
      </c>
      <c r="L44" s="16">
        <v>-121178.40571600001</v>
      </c>
      <c r="M44" s="21">
        <v>-5.3728481429489048E-3</v>
      </c>
      <c r="N44" s="18">
        <v>-0.13382751475567708</v>
      </c>
      <c r="O44" s="130"/>
      <c r="P44" s="16">
        <v>-91348.756713999988</v>
      </c>
      <c r="Q44" s="21">
        <v>-4.1196587385194227E-3</v>
      </c>
      <c r="R44" s="18">
        <v>-0.10463818260189846</v>
      </c>
      <c r="S44" s="130"/>
      <c r="T44" s="16">
        <v>-73630.991606000011</v>
      </c>
      <c r="U44" s="21">
        <v>-3.2363043320182889E-3</v>
      </c>
      <c r="V44" s="18">
        <v>-8.5153444841248746E-2</v>
      </c>
      <c r="W44" s="130"/>
      <c r="X44" s="16">
        <v>-36421.517516</v>
      </c>
      <c r="Y44" s="21">
        <v>-1.4503501368895084E-3</v>
      </c>
      <c r="Z44" s="18">
        <v>-4.1111473275833851E-2</v>
      </c>
      <c r="AB44" s="16">
        <v>-23603.119996000001</v>
      </c>
      <c r="AC44" s="21">
        <v>-9.9978270291105863E-4</v>
      </c>
      <c r="AD44" s="18">
        <v>-2.8373670305469504E-2</v>
      </c>
      <c r="AF44" s="95">
        <v>-88621.599999999991</v>
      </c>
      <c r="AG44" s="100">
        <v>-3.7252531241097667E-3</v>
      </c>
      <c r="AH44" s="97">
        <v>-0.10504732496873646</v>
      </c>
      <c r="AJ44" s="95">
        <v>-120343.59</v>
      </c>
      <c r="AK44" s="100">
        <v>-5.5639858939549982E-3</v>
      </c>
      <c r="AL44" s="97">
        <v>-0.15446567560351998</v>
      </c>
      <c r="AN44" s="95"/>
      <c r="AO44" s="100"/>
      <c r="AP44" s="97"/>
      <c r="AR44" s="95"/>
      <c r="AS44" s="100"/>
      <c r="AT44" s="97"/>
      <c r="AV44" s="95"/>
      <c r="AW44" s="100"/>
      <c r="AX44" s="97"/>
      <c r="AZ44" s="95"/>
      <c r="BA44" s="100"/>
      <c r="BB44" s="97"/>
      <c r="BD44" s="95">
        <v>-114672.53484824998</v>
      </c>
      <c r="BE44" s="100">
        <v>-4.4666840586385717E-4</v>
      </c>
      <c r="BF44" s="97">
        <v>-1.2874391808543622E-2</v>
      </c>
    </row>
    <row r="45" spans="1:58" ht="15.75" x14ac:dyDescent="0.25">
      <c r="A45" s="182"/>
      <c r="B45" s="15" t="s">
        <v>38</v>
      </c>
      <c r="C45" s="130"/>
      <c r="D45" s="16">
        <v>-33800.484045000012</v>
      </c>
      <c r="E45" s="17">
        <v>-1.7388452383536855E-3</v>
      </c>
      <c r="F45" s="18">
        <v>-4.3796228712811004E-2</v>
      </c>
      <c r="G45" s="130"/>
      <c r="H45" s="16">
        <v>-3304.0228039999997</v>
      </c>
      <c r="I45" s="21">
        <v>-1.8378639206884865E-4</v>
      </c>
      <c r="J45" s="18">
        <v>-4.5658881917880912E-3</v>
      </c>
      <c r="K45" s="19">
        <v>4.5658881917880912E-3</v>
      </c>
      <c r="L45" s="16">
        <v>-23080.079547000001</v>
      </c>
      <c r="M45" s="21">
        <v>-1.0233321836552157E-3</v>
      </c>
      <c r="N45" s="18">
        <v>-2.5489274824899887E-2</v>
      </c>
      <c r="O45" s="130"/>
      <c r="P45" s="16">
        <v>-22368.621643999999</v>
      </c>
      <c r="Q45" s="21">
        <v>-1.0087831617988114E-3</v>
      </c>
      <c r="R45" s="18">
        <v>-2.5622810866115828E-2</v>
      </c>
      <c r="S45" s="130"/>
      <c r="T45" s="16">
        <v>-16139.114624</v>
      </c>
      <c r="U45" s="21">
        <v>-7.0936280271872271E-4</v>
      </c>
      <c r="V45" s="18">
        <v>-1.8664711379622199E-2</v>
      </c>
      <c r="W45" s="130"/>
      <c r="X45" s="16">
        <v>-7380.7282939999996</v>
      </c>
      <c r="Y45" s="21">
        <v>-2.9390978250273651E-4</v>
      </c>
      <c r="Z45" s="18">
        <v>-8.3311359523027435E-3</v>
      </c>
      <c r="AB45" s="16">
        <v>-49611.478227</v>
      </c>
      <c r="AC45" s="21">
        <v>-2.1014466649158662E-3</v>
      </c>
      <c r="AD45" s="18">
        <v>-5.9638714153825073E-2</v>
      </c>
      <c r="AF45" s="95">
        <v>-41066.098652000001</v>
      </c>
      <c r="AG45" s="100">
        <v>-1.726233923765345E-3</v>
      </c>
      <c r="AH45" s="97">
        <v>-4.8677566307704159E-2</v>
      </c>
      <c r="AJ45" s="95">
        <v>-61290.719282999999</v>
      </c>
      <c r="AK45" s="100">
        <v>-2.8337254815230923E-3</v>
      </c>
      <c r="AL45" s="97">
        <v>-7.8669020612350718E-2</v>
      </c>
      <c r="AN45" s="95"/>
      <c r="AO45" s="100"/>
      <c r="AP45" s="97"/>
      <c r="AR45" s="95"/>
      <c r="AS45" s="100"/>
      <c r="AT45" s="97"/>
      <c r="AV45" s="95"/>
      <c r="AW45" s="100"/>
      <c r="AX45" s="97"/>
      <c r="AZ45" s="95"/>
      <c r="BA45" s="100"/>
      <c r="BB45" s="97"/>
      <c r="BD45" s="95">
        <v>-32198.20991258333</v>
      </c>
      <c r="BE45" s="100">
        <v>-1.2541732954936003E-4</v>
      </c>
      <c r="BF45" s="97">
        <v>-3.6149228801551784E-3</v>
      </c>
    </row>
    <row r="46" spans="1:58" ht="15.75" x14ac:dyDescent="0.25">
      <c r="A46" s="182"/>
      <c r="B46" s="15" t="s">
        <v>97</v>
      </c>
      <c r="C46" s="130"/>
      <c r="D46" s="16">
        <v>-84724.99</v>
      </c>
      <c r="E46" s="17">
        <v>-4.3586253153926864E-3</v>
      </c>
      <c r="F46" s="18">
        <v>-0.10978052961580374</v>
      </c>
      <c r="G46" s="130"/>
      <c r="H46" s="16">
        <v>-77996.160000000003</v>
      </c>
      <c r="I46" s="21">
        <v>-4.3385393176676914E-3</v>
      </c>
      <c r="J46" s="18">
        <v>-0.1077842881464612</v>
      </c>
      <c r="K46" s="19">
        <v>0.1077842881464612</v>
      </c>
      <c r="L46" s="16">
        <v>-112012.6</v>
      </c>
      <c r="M46" s="21">
        <v>-4.9664516242881648E-3</v>
      </c>
      <c r="N46" s="18">
        <v>-0.12370494388623961</v>
      </c>
      <c r="O46" s="130"/>
      <c r="P46" s="16">
        <v>-76093.610000000015</v>
      </c>
      <c r="Q46" s="21">
        <v>-3.431680043149898E-3</v>
      </c>
      <c r="R46" s="18">
        <v>-8.7163715680843606E-2</v>
      </c>
      <c r="S46" s="130"/>
      <c r="T46" s="16">
        <v>-106506.68</v>
      </c>
      <c r="U46" s="21">
        <v>-4.6812900703186756E-3</v>
      </c>
      <c r="V46" s="18">
        <v>-0.12317382263619393</v>
      </c>
      <c r="W46" s="130"/>
      <c r="X46" s="16">
        <v>-81709.64</v>
      </c>
      <c r="Y46" s="21">
        <v>-3.2537795139132241E-3</v>
      </c>
      <c r="Z46" s="18">
        <v>-9.223129376095611E-2</v>
      </c>
      <c r="AB46" s="16">
        <v>-85671.19</v>
      </c>
      <c r="AC46" s="21">
        <v>-3.6288666038355238E-3</v>
      </c>
      <c r="AD46" s="18">
        <v>-0.10298664329754637</v>
      </c>
      <c r="AF46" s="95">
        <v>-111954.34</v>
      </c>
      <c r="AG46" s="100">
        <v>-4.7060564788115652E-3</v>
      </c>
      <c r="AH46" s="97">
        <v>-0.132704712345979</v>
      </c>
      <c r="AJ46" s="95">
        <v>-88204.78</v>
      </c>
      <c r="AK46" s="100">
        <v>-4.0780747167290252E-3</v>
      </c>
      <c r="AL46" s="97">
        <v>-0.11321426371076221</v>
      </c>
      <c r="AN46" s="95"/>
      <c r="AO46" s="100"/>
      <c r="AP46" s="97"/>
      <c r="AR46" s="95"/>
      <c r="AS46" s="100"/>
      <c r="AT46" s="97"/>
      <c r="AV46" s="95"/>
      <c r="AW46" s="100"/>
      <c r="AX46" s="97"/>
      <c r="AZ46" s="95"/>
      <c r="BA46" s="100"/>
      <c r="BB46" s="97"/>
      <c r="BD46" s="95">
        <v>-88131.361666666649</v>
      </c>
      <c r="BE46" s="100">
        <v>-3.4328616590149268E-4</v>
      </c>
      <c r="BF46" s="97">
        <v>-9.8945896872222518E-3</v>
      </c>
    </row>
    <row r="47" spans="1:58" ht="15.75" x14ac:dyDescent="0.25">
      <c r="A47" s="182"/>
      <c r="B47" s="15" t="s">
        <v>39</v>
      </c>
      <c r="C47" s="130"/>
      <c r="D47" s="16">
        <v>-64419.399998999987</v>
      </c>
      <c r="E47" s="17">
        <v>-3.3140166512625013E-3</v>
      </c>
      <c r="F47" s="18">
        <v>-8.3470011025348304E-2</v>
      </c>
      <c r="G47" s="130"/>
      <c r="H47" s="16">
        <v>-33789.339999000003</v>
      </c>
      <c r="I47" s="21">
        <v>-1.8795333014305204E-3</v>
      </c>
      <c r="J47" s="18">
        <v>-4.669409312882792E-2</v>
      </c>
      <c r="K47" s="19">
        <v>4.669409312882792E-2</v>
      </c>
      <c r="L47" s="16">
        <v>-86623.590000000011</v>
      </c>
      <c r="M47" s="21">
        <v>-3.8407453202333672E-3</v>
      </c>
      <c r="N47" s="18">
        <v>-9.5665722786317131E-2</v>
      </c>
      <c r="O47" s="130"/>
      <c r="P47" s="16">
        <v>-50460.820001</v>
      </c>
      <c r="Q47" s="21">
        <v>-2.2756889699202193E-3</v>
      </c>
      <c r="R47" s="18">
        <v>-5.7801864934380026E-2</v>
      </c>
      <c r="S47" s="130"/>
      <c r="T47" s="16">
        <v>-55117.849999999991</v>
      </c>
      <c r="U47" s="21">
        <v>-2.4225958775760752E-3</v>
      </c>
      <c r="V47" s="18">
        <v>-6.3743196952419715E-2</v>
      </c>
      <c r="W47" s="130"/>
      <c r="X47" s="16">
        <v>-101351.93633300002</v>
      </c>
      <c r="Y47" s="21">
        <v>-4.0359601894678866E-3</v>
      </c>
      <c r="Z47" s="18">
        <v>-0.11440290537531</v>
      </c>
      <c r="AB47" s="16">
        <v>-83996.142999000003</v>
      </c>
      <c r="AC47" s="21">
        <v>-3.5579148390499087E-3</v>
      </c>
      <c r="AD47" s="18">
        <v>-0.10097304376661173</v>
      </c>
      <c r="AF47" s="95">
        <v>-88218.639599999995</v>
      </c>
      <c r="AG47" s="100">
        <v>-3.708314482864376E-3</v>
      </c>
      <c r="AH47" s="97">
        <v>-0.10456967717081439</v>
      </c>
      <c r="AJ47" s="95">
        <v>-75614.650001000016</v>
      </c>
      <c r="AK47" s="100">
        <v>-3.4959805169673631E-3</v>
      </c>
      <c r="AL47" s="97">
        <v>-9.7054342469990881E-2</v>
      </c>
      <c r="AN47" s="95"/>
      <c r="AO47" s="100"/>
      <c r="AP47" s="97"/>
      <c r="AR47" s="95"/>
      <c r="AS47" s="100"/>
      <c r="AT47" s="97"/>
      <c r="AV47" s="95"/>
      <c r="AW47" s="100"/>
      <c r="AX47" s="97"/>
      <c r="AZ47" s="95"/>
      <c r="BA47" s="100"/>
      <c r="BB47" s="97"/>
      <c r="BD47" s="95">
        <v>-73701.497864583333</v>
      </c>
      <c r="BE47" s="100">
        <v>-2.870794702891693E-4</v>
      </c>
      <c r="BF47" s="97">
        <v>-8.2745354992008139E-3</v>
      </c>
    </row>
    <row r="48" spans="1:58" ht="15.75" x14ac:dyDescent="0.25">
      <c r="A48" s="182"/>
      <c r="B48" s="15" t="s">
        <v>40</v>
      </c>
      <c r="C48" s="130"/>
      <c r="D48" s="16"/>
      <c r="E48" s="17">
        <v>0</v>
      </c>
      <c r="F48" s="18">
        <v>0</v>
      </c>
      <c r="G48" s="130"/>
      <c r="H48" s="16"/>
      <c r="I48" s="21">
        <v>0</v>
      </c>
      <c r="J48" s="18">
        <v>0</v>
      </c>
      <c r="K48" s="19">
        <v>0</v>
      </c>
      <c r="L48" s="16"/>
      <c r="M48" s="21">
        <v>0</v>
      </c>
      <c r="N48" s="18">
        <v>0</v>
      </c>
      <c r="O48" s="130"/>
      <c r="P48" s="16"/>
      <c r="Q48" s="21">
        <v>0</v>
      </c>
      <c r="R48" s="18">
        <v>0</v>
      </c>
      <c r="S48" s="130"/>
      <c r="T48" s="16">
        <v>-1750</v>
      </c>
      <c r="U48" s="21">
        <v>-7.6917782274855281E-5</v>
      </c>
      <c r="V48" s="18">
        <v>-2.0238560587311463E-3</v>
      </c>
      <c r="W48" s="130"/>
      <c r="X48" s="16"/>
      <c r="Y48" s="21"/>
      <c r="Z48" s="18"/>
      <c r="AB48" s="16"/>
      <c r="AC48" s="21">
        <v>0</v>
      </c>
      <c r="AD48" s="18">
        <v>0</v>
      </c>
      <c r="AF48" s="95"/>
      <c r="AG48" s="100"/>
      <c r="AH48" s="97"/>
      <c r="AJ48" s="95"/>
      <c r="AK48" s="100">
        <v>0</v>
      </c>
      <c r="AL48" s="97">
        <v>0</v>
      </c>
      <c r="AN48" s="95"/>
      <c r="AO48" s="100"/>
      <c r="AP48" s="97"/>
      <c r="AR48" s="95"/>
      <c r="AS48" s="100"/>
      <c r="AT48" s="97"/>
      <c r="AV48" s="95"/>
      <c r="AW48" s="100"/>
      <c r="AX48" s="97"/>
      <c r="AZ48" s="95"/>
      <c r="BA48" s="100"/>
      <c r="BB48" s="97"/>
      <c r="BD48" s="95">
        <v>-220.41666666666666</v>
      </c>
      <c r="BE48" s="100">
        <v>-8.5855921172503562E-7</v>
      </c>
      <c r="BF48" s="97">
        <v>-2.4746383530765123E-5</v>
      </c>
    </row>
    <row r="49" spans="1:58" ht="15.75" x14ac:dyDescent="0.25">
      <c r="A49" s="183"/>
      <c r="B49" s="15" t="s">
        <v>41</v>
      </c>
      <c r="C49" s="130"/>
      <c r="D49" s="16">
        <v>-2265.1</v>
      </c>
      <c r="E49" s="17">
        <v>-1.1652668477028999E-4</v>
      </c>
      <c r="F49" s="18">
        <v>-2.934953165916656E-3</v>
      </c>
      <c r="G49" s="130"/>
      <c r="H49" s="16">
        <v>-15098.91</v>
      </c>
      <c r="I49" s="21">
        <v>-8.3987743356757404E-4</v>
      </c>
      <c r="J49" s="18">
        <v>-2.086545371127866E-2</v>
      </c>
      <c r="K49" s="19">
        <v>2.086545371127866E-2</v>
      </c>
      <c r="L49" s="16">
        <v>-78784.607185999994</v>
      </c>
      <c r="M49" s="21">
        <v>-3.493177913268817E-3</v>
      </c>
      <c r="N49" s="18">
        <v>-8.700847414526186E-2</v>
      </c>
      <c r="O49" s="130"/>
      <c r="P49" s="16">
        <v>-22317.848053000002</v>
      </c>
      <c r="Q49" s="21">
        <v>-1.006493367439551E-3</v>
      </c>
      <c r="R49" s="18">
        <v>-2.5564650728227518E-2</v>
      </c>
      <c r="S49" s="130"/>
      <c r="T49" s="16">
        <v>-36.004759999999997</v>
      </c>
      <c r="U49" s="21">
        <v>-1.5825178803076675E-6</v>
      </c>
      <c r="V49" s="18">
        <v>-4.1639115239520474E-5</v>
      </c>
      <c r="W49" s="130"/>
      <c r="X49" s="16">
        <v>-18214.43</v>
      </c>
      <c r="Y49" s="21">
        <v>-7.2532126186832359E-4</v>
      </c>
      <c r="Z49" s="18">
        <v>-2.0559880621409812E-2</v>
      </c>
      <c r="AB49" s="16">
        <v>-21364.460000000003</v>
      </c>
      <c r="AC49" s="21">
        <v>-9.0495737718805939E-4</v>
      </c>
      <c r="AD49" s="18">
        <v>-2.5682543002667497E-2</v>
      </c>
      <c r="AF49" s="95">
        <v>-5740.6305869999997</v>
      </c>
      <c r="AG49" s="100">
        <v>-2.4131026779681064E-4</v>
      </c>
      <c r="AH49" s="97">
        <v>-6.8046377722593299E-3</v>
      </c>
      <c r="AJ49" s="95">
        <v>-4076.871654999999</v>
      </c>
      <c r="AK49" s="100">
        <v>-1.8849077362479349E-4</v>
      </c>
      <c r="AL49" s="97">
        <v>-5.2328232400114996E-3</v>
      </c>
      <c r="AN49" s="95"/>
      <c r="AO49" s="100"/>
      <c r="AP49" s="97"/>
      <c r="AR49" s="95"/>
      <c r="AS49" s="100"/>
      <c r="AT49" s="97"/>
      <c r="AV49" s="95"/>
      <c r="AW49" s="100"/>
      <c r="AX49" s="97"/>
      <c r="AZ49" s="95"/>
      <c r="BA49" s="100"/>
      <c r="BB49" s="97"/>
      <c r="BD49" s="95">
        <v>-18813.204166583328</v>
      </c>
      <c r="BE49" s="100">
        <v>-7.3280528117734307E-5</v>
      </c>
      <c r="BF49" s="97">
        <v>-2.1121758748530489E-3</v>
      </c>
    </row>
    <row r="50" spans="1:58" ht="15.75" x14ac:dyDescent="0.25">
      <c r="A50" s="23" t="s">
        <v>42</v>
      </c>
      <c r="B50" s="23"/>
      <c r="C50" s="129"/>
      <c r="D50" s="13">
        <v>-1126562.5690970002</v>
      </c>
      <c r="E50" s="26">
        <v>-5.7955322662652506E-2</v>
      </c>
      <c r="F50" s="27">
        <v>-1.4597185019533099</v>
      </c>
      <c r="G50" s="129"/>
      <c r="H50" s="13">
        <v>-887211.49698699987</v>
      </c>
      <c r="I50" s="26">
        <v>-4.9351172708565517E-2</v>
      </c>
      <c r="J50" s="27">
        <v>-1.2260534318369003</v>
      </c>
      <c r="K50" s="19"/>
      <c r="L50" s="13">
        <v>-1308845.7958140003</v>
      </c>
      <c r="M50" s="26">
        <v>-5.8032036829456485E-2</v>
      </c>
      <c r="N50" s="27">
        <v>-1.4454685966303034</v>
      </c>
      <c r="O50" s="129"/>
      <c r="P50" s="13">
        <v>-1005665.317743</v>
      </c>
      <c r="Q50" s="26">
        <v>-4.5353632203632518E-2</v>
      </c>
      <c r="R50" s="27">
        <v>-1.1519696046203627</v>
      </c>
      <c r="S50" s="129"/>
      <c r="T50" s="13">
        <v>-1072200.6972440002</v>
      </c>
      <c r="U50" s="26">
        <v>-4.7126457020321158E-2</v>
      </c>
      <c r="V50" s="27">
        <v>-1.2399885013103025</v>
      </c>
      <c r="W50" s="129"/>
      <c r="X50" s="13">
        <v>-943359.04177999997</v>
      </c>
      <c r="Y50" s="26">
        <v>-3.756573060912486E-2</v>
      </c>
      <c r="Z50" s="27">
        <v>-1.0648342705275076</v>
      </c>
      <c r="AB50" s="13">
        <v>-1167987.7575789997</v>
      </c>
      <c r="AC50" s="26">
        <v>-4.9473711841368999E-2</v>
      </c>
      <c r="AD50" s="27">
        <v>-1.4040558858315089</v>
      </c>
      <c r="AF50" s="13">
        <v>-1119656.1407499998</v>
      </c>
      <c r="AG50" s="26">
        <v>-4.7065303901730748E-2</v>
      </c>
      <c r="AH50" s="27">
        <v>-1.3271807603406685</v>
      </c>
      <c r="AJ50" s="13">
        <v>-1156588.5747239997</v>
      </c>
      <c r="AK50" s="26">
        <v>-5.3473911779379782E-2</v>
      </c>
      <c r="AL50" s="27">
        <v>-1.484526393055541</v>
      </c>
      <c r="AN50" s="13"/>
      <c r="AO50" s="26"/>
      <c r="AP50" s="27"/>
      <c r="AR50" s="13"/>
      <c r="AS50" s="26"/>
      <c r="AT50" s="27"/>
      <c r="AV50" s="13"/>
      <c r="AW50" s="26"/>
      <c r="AX50" s="27"/>
      <c r="AZ50" s="13"/>
      <c r="BA50" s="26"/>
      <c r="BB50" s="27"/>
      <c r="BD50" s="13">
        <v>-1122183.0527265</v>
      </c>
      <c r="BE50" s="26">
        <v>-4.3710877753953478E-3</v>
      </c>
      <c r="BF50" s="27">
        <v>-0.12598853178598771</v>
      </c>
    </row>
    <row r="51" spans="1:58" ht="15.75" x14ac:dyDescent="0.25">
      <c r="A51" s="28" t="s">
        <v>98</v>
      </c>
      <c r="B51" s="29"/>
      <c r="C51" s="131"/>
      <c r="D51" s="122">
        <v>-11601222.229097001</v>
      </c>
      <c r="E51" s="123">
        <v>-0.59681778536932906</v>
      </c>
      <c r="F51" s="14">
        <v>-15.032026802256382</v>
      </c>
      <c r="G51" s="131"/>
      <c r="H51" s="122">
        <v>-10755109.386987001</v>
      </c>
      <c r="I51" s="123">
        <v>-0.59825336197653789</v>
      </c>
      <c r="J51" s="14">
        <v>-14.862677973040165</v>
      </c>
      <c r="K51" s="19"/>
      <c r="L51" s="13">
        <v>-13690471.585813999</v>
      </c>
      <c r="M51" s="123">
        <v>-0.60701264719002057</v>
      </c>
      <c r="N51" s="14">
        <v>-15.119540295460318</v>
      </c>
      <c r="O51" s="131"/>
      <c r="P51" s="13">
        <v>-13050963.917742999</v>
      </c>
      <c r="Q51" s="123">
        <v>-0.588574157808889</v>
      </c>
      <c r="R51" s="14">
        <v>-14.949619400197983</v>
      </c>
      <c r="S51" s="131"/>
      <c r="T51" s="13">
        <v>-13340146.667243998</v>
      </c>
      <c r="U51" s="123">
        <v>-0.58633971249469152</v>
      </c>
      <c r="V51" s="14">
        <v>-15.427735232493644</v>
      </c>
      <c r="W51" s="131"/>
      <c r="X51" s="13">
        <v>-13415020.041780001</v>
      </c>
      <c r="Y51" s="123">
        <v>-0.53420278672968191</v>
      </c>
      <c r="Z51" s="14">
        <v>-15.14245631583403</v>
      </c>
      <c r="AB51" s="31">
        <v>-13140225.327578999</v>
      </c>
      <c r="AC51" s="30">
        <v>-0.55659463651812391</v>
      </c>
      <c r="AD51" s="27">
        <v>-15.796065149331563</v>
      </c>
      <c r="AF51" s="31">
        <v>-13583660.98075</v>
      </c>
      <c r="AG51" s="30">
        <v>-0.57099595928517288</v>
      </c>
      <c r="AH51" s="27">
        <v>-16.101348309102871</v>
      </c>
      <c r="AJ51" s="31">
        <v>-12526175.214724001</v>
      </c>
      <c r="AK51" s="30">
        <v>-0.57913730344867609</v>
      </c>
      <c r="AL51" s="27">
        <v>-16.077832789186441</v>
      </c>
      <c r="AN51" s="31"/>
      <c r="AO51" s="30"/>
      <c r="AP51" s="27"/>
      <c r="AR51" s="31"/>
      <c r="AS51" s="30"/>
      <c r="AT51" s="27"/>
      <c r="AV51" s="31"/>
      <c r="AW51" s="30"/>
      <c r="AX51" s="27"/>
      <c r="AZ51" s="31"/>
      <c r="BA51" s="30"/>
      <c r="BB51" s="27"/>
      <c r="BD51" s="31">
        <v>-12571549.0352265</v>
      </c>
      <c r="BE51" s="30">
        <v>-4.896825359476762E-2</v>
      </c>
      <c r="BF51" s="27">
        <v>-1.4114194661695361</v>
      </c>
    </row>
    <row r="52" spans="1:58" ht="15.75" x14ac:dyDescent="0.25">
      <c r="A52" s="181" t="s">
        <v>15</v>
      </c>
      <c r="B52" s="15" t="s">
        <v>51</v>
      </c>
      <c r="C52" s="130"/>
      <c r="D52" s="35">
        <v>-221987.5</v>
      </c>
      <c r="E52" s="17"/>
      <c r="F52" s="18"/>
      <c r="G52" s="130"/>
      <c r="H52" s="35">
        <v>-186990</v>
      </c>
      <c r="I52" s="21"/>
      <c r="J52" s="18"/>
      <c r="K52" s="19">
        <v>0.25840482455170583</v>
      </c>
      <c r="L52" s="35">
        <v>-285921.3</v>
      </c>
      <c r="M52" s="21"/>
      <c r="N52" s="18"/>
      <c r="O52" s="130"/>
      <c r="P52" s="35"/>
      <c r="Q52" s="21">
        <v>0</v>
      </c>
      <c r="R52" s="18"/>
      <c r="S52" s="130"/>
      <c r="T52" s="16"/>
      <c r="U52" s="21">
        <v>0</v>
      </c>
      <c r="V52" s="18">
        <v>0</v>
      </c>
      <c r="W52" s="130"/>
      <c r="X52" s="16"/>
      <c r="Y52" s="21">
        <v>0</v>
      </c>
      <c r="Z52" s="18">
        <v>0</v>
      </c>
      <c r="AB52" s="16">
        <v>-92229.299999999988</v>
      </c>
      <c r="AC52" s="21">
        <v>-3.9066555123738519E-3</v>
      </c>
      <c r="AD52" s="18">
        <v>-0.11087024728712641</v>
      </c>
      <c r="AF52" s="95">
        <v>-94671.05</v>
      </c>
      <c r="AG52" s="100">
        <v>-3.9795447698445074E-3</v>
      </c>
      <c r="AH52" s="97">
        <v>-0.11221802082654229</v>
      </c>
      <c r="AJ52" s="95">
        <v>-198895</v>
      </c>
      <c r="AK52" s="100">
        <v>-9.1957450694148263E-3</v>
      </c>
      <c r="AL52" s="97">
        <v>-0.25528946368611827</v>
      </c>
      <c r="AN52" s="95"/>
      <c r="AO52" s="100"/>
      <c r="AP52" s="97"/>
      <c r="AR52" s="95"/>
      <c r="AS52" s="100"/>
      <c r="AT52" s="97"/>
      <c r="AV52" s="95"/>
      <c r="AW52" s="100"/>
      <c r="AX52" s="97"/>
      <c r="AZ52" s="95"/>
      <c r="BA52" s="100"/>
      <c r="BB52" s="97"/>
      <c r="BD52" s="95">
        <v>-136775.67333333334</v>
      </c>
      <c r="BE52" s="100">
        <v>-5.3276376989139197E-4</v>
      </c>
      <c r="BF52" s="97">
        <v>-1.5355931659668708E-2</v>
      </c>
    </row>
    <row r="53" spans="1:58" ht="15.75" x14ac:dyDescent="0.25">
      <c r="A53" s="182"/>
      <c r="B53" s="15" t="s">
        <v>52</v>
      </c>
      <c r="C53" s="130"/>
      <c r="D53" s="35">
        <v>-17000</v>
      </c>
      <c r="E53" s="17">
        <v>-8.7455460734401573E-4</v>
      </c>
      <c r="F53" s="18">
        <v>-2.2027373546679243E-2</v>
      </c>
      <c r="G53" s="130"/>
      <c r="H53" s="35">
        <v>-10000</v>
      </c>
      <c r="I53" s="21">
        <v>-5.5625037407837656E-4</v>
      </c>
      <c r="J53" s="18">
        <v>-1.3819178809118447E-2</v>
      </c>
      <c r="K53" s="19">
        <v>1.3819178809118447E-2</v>
      </c>
      <c r="L53" s="35">
        <v>-11500</v>
      </c>
      <c r="M53" s="21">
        <v>-5.0989079513656405E-4</v>
      </c>
      <c r="N53" s="18">
        <v>-1.2700418119852189E-2</v>
      </c>
      <c r="O53" s="130"/>
      <c r="P53" s="35">
        <v>-11500</v>
      </c>
      <c r="Q53" s="21">
        <v>-5.186285746756373E-4</v>
      </c>
      <c r="R53" s="18">
        <v>-1.317302110295071E-2</v>
      </c>
      <c r="S53" s="130"/>
      <c r="T53" s="16">
        <v>-11500</v>
      </c>
      <c r="U53" s="21">
        <v>-5.0545971209190615E-4</v>
      </c>
      <c r="V53" s="18">
        <v>-1.3299625528804676E-2</v>
      </c>
      <c r="W53" s="130"/>
      <c r="X53" s="16">
        <v>-11500</v>
      </c>
      <c r="Y53" s="21">
        <v>-4.5794430632667182E-4</v>
      </c>
      <c r="Z53" s="18">
        <v>-1.2980841406852303E-2</v>
      </c>
      <c r="AB53" s="16">
        <v>-11500</v>
      </c>
      <c r="AC53" s="21">
        <v>-4.8711785075132634E-4</v>
      </c>
      <c r="AD53" s="18">
        <v>-1.3824325282767558E-2</v>
      </c>
      <c r="AF53" s="95">
        <v>-11500</v>
      </c>
      <c r="AG53" s="100">
        <v>-4.834082314837728E-4</v>
      </c>
      <c r="AH53" s="97">
        <v>-1.3631487550895827E-2</v>
      </c>
      <c r="AJ53" s="95">
        <v>-19500</v>
      </c>
      <c r="AK53" s="100">
        <v>-9.0156629806475324E-4</v>
      </c>
      <c r="AL53" s="97">
        <v>-2.5029007978477621E-2</v>
      </c>
      <c r="AN53" s="95"/>
      <c r="AO53" s="100"/>
      <c r="AP53" s="97"/>
      <c r="AR53" s="95"/>
      <c r="AS53" s="100"/>
      <c r="AT53" s="97"/>
      <c r="AV53" s="95"/>
      <c r="AW53" s="100"/>
      <c r="AX53" s="97"/>
      <c r="AZ53" s="95"/>
      <c r="BA53" s="100"/>
      <c r="BB53" s="97"/>
      <c r="BD53" s="95">
        <v>-15250</v>
      </c>
      <c r="BE53" s="100">
        <v>-5.9401261151486398E-5</v>
      </c>
      <c r="BF53" s="97">
        <v>-1.7121316393686268E-3</v>
      </c>
    </row>
    <row r="54" spans="1:58" ht="15.75" x14ac:dyDescent="0.25">
      <c r="A54" s="182"/>
      <c r="B54" s="15" t="s">
        <v>100</v>
      </c>
      <c r="C54" s="130"/>
      <c r="D54" s="35"/>
      <c r="E54" s="17">
        <v>0</v>
      </c>
      <c r="F54" s="18">
        <v>0</v>
      </c>
      <c r="G54" s="130"/>
      <c r="H54" s="35"/>
      <c r="I54" s="21">
        <v>0</v>
      </c>
      <c r="J54" s="18">
        <v>0</v>
      </c>
      <c r="K54" s="19">
        <v>0</v>
      </c>
      <c r="L54" s="35"/>
      <c r="M54" s="21">
        <v>0</v>
      </c>
      <c r="N54" s="18">
        <v>0</v>
      </c>
      <c r="O54" s="130"/>
      <c r="P54" s="35">
        <v>-11780</v>
      </c>
      <c r="Q54" s="21">
        <v>-5.3125605301556581E-4</v>
      </c>
      <c r="R54" s="18">
        <v>-1.3493755529805163E-2</v>
      </c>
      <c r="S54" s="130"/>
      <c r="T54" s="16">
        <v>-39810.400000000001</v>
      </c>
      <c r="U54" s="21">
        <v>-1.7497872454142278E-3</v>
      </c>
      <c r="V54" s="18">
        <v>-4.6040296708863102E-2</v>
      </c>
      <c r="W54" s="130"/>
      <c r="X54" s="16">
        <v>-49100</v>
      </c>
      <c r="Y54" s="21">
        <v>-1.9552230817947466E-3</v>
      </c>
      <c r="Z54" s="18">
        <v>-5.54225489631694E-2</v>
      </c>
      <c r="AB54" s="16">
        <v>-30772</v>
      </c>
      <c r="AC54" s="21">
        <v>-1.3034426524625926E-3</v>
      </c>
      <c r="AD54" s="18">
        <v>-3.6991490226202024E-2</v>
      </c>
      <c r="AF54" s="95">
        <v>-34010</v>
      </c>
      <c r="AG54" s="100">
        <v>-1.4296273002402707E-3</v>
      </c>
      <c r="AH54" s="97">
        <v>-4.0313642748344959E-2</v>
      </c>
      <c r="AJ54" s="95">
        <v>-61760</v>
      </c>
      <c r="AK54" s="100">
        <v>-2.855422285563034E-3</v>
      </c>
      <c r="AL54" s="97">
        <v>-7.9271360653886042E-2</v>
      </c>
      <c r="AN54" s="95"/>
      <c r="AO54" s="100"/>
      <c r="AP54" s="97"/>
      <c r="AR54" s="95"/>
      <c r="AS54" s="100"/>
      <c r="AT54" s="97"/>
      <c r="AV54" s="95"/>
      <c r="AW54" s="100"/>
      <c r="AX54" s="97"/>
      <c r="AZ54" s="95"/>
      <c r="BA54" s="100"/>
      <c r="BB54" s="97"/>
      <c r="BD54" s="95">
        <v>-26336.668333333335</v>
      </c>
      <c r="BE54" s="100">
        <v>-1.0258565990350265E-4</v>
      </c>
      <c r="BF54" s="97">
        <v>-2.9568421723972331E-3</v>
      </c>
    </row>
    <row r="55" spans="1:58" ht="15.75" x14ac:dyDescent="0.25">
      <c r="A55" s="182"/>
      <c r="B55" s="15" t="s">
        <v>53</v>
      </c>
      <c r="C55" s="130"/>
      <c r="D55" s="35"/>
      <c r="E55" s="17">
        <v>0</v>
      </c>
      <c r="F55" s="18">
        <v>0</v>
      </c>
      <c r="G55" s="130"/>
      <c r="H55" s="35">
        <v>-10000</v>
      </c>
      <c r="I55" s="21">
        <v>-5.5625037407837656E-4</v>
      </c>
      <c r="J55" s="18">
        <v>-1.3819178809118447E-2</v>
      </c>
      <c r="K55" s="19">
        <v>1.3819178809118447E-2</v>
      </c>
      <c r="L55" s="35">
        <v>-17500</v>
      </c>
      <c r="M55" s="21">
        <v>-7.7592077520781486E-4</v>
      </c>
      <c r="N55" s="18">
        <v>-1.9326723225862028E-2</v>
      </c>
      <c r="O55" s="130"/>
      <c r="P55" s="35">
        <v>0</v>
      </c>
      <c r="Q55" s="21">
        <v>0</v>
      </c>
      <c r="R55" s="18">
        <v>0</v>
      </c>
      <c r="S55" s="130"/>
      <c r="T55" s="16">
        <v>-4000</v>
      </c>
      <c r="U55" s="21">
        <v>-1.7581207377109778E-4</v>
      </c>
      <c r="V55" s="18">
        <v>-4.6259567056711913E-3</v>
      </c>
      <c r="W55" s="130"/>
      <c r="X55" s="16">
        <v>-15000</v>
      </c>
      <c r="Y55" s="21">
        <v>-5.973186604260937E-4</v>
      </c>
      <c r="Z55" s="18">
        <v>-1.6931532269807353E-2</v>
      </c>
      <c r="AB55" s="16"/>
      <c r="AC55" s="21">
        <v>0</v>
      </c>
      <c r="AD55" s="18">
        <v>0</v>
      </c>
      <c r="AF55" s="95">
        <v>-7500</v>
      </c>
      <c r="AG55" s="100">
        <v>-3.1526623792419963E-4</v>
      </c>
      <c r="AH55" s="97">
        <v>-8.8901005766711914E-3</v>
      </c>
      <c r="AJ55" s="95">
        <v>-2000</v>
      </c>
      <c r="AK55" s="100">
        <v>-9.2468338263051612E-5</v>
      </c>
      <c r="AL55" s="97">
        <v>-2.5670777413823202E-3</v>
      </c>
      <c r="AN55" s="95"/>
      <c r="AO55" s="100"/>
      <c r="AP55" s="97"/>
      <c r="AR55" s="95"/>
      <c r="AS55" s="100"/>
      <c r="AT55" s="97"/>
      <c r="AV55" s="95"/>
      <c r="AW55" s="100"/>
      <c r="AX55" s="97"/>
      <c r="AZ55" s="95"/>
      <c r="BA55" s="100"/>
      <c r="BB55" s="97"/>
      <c r="BD55" s="95">
        <v>-4666.666666666667</v>
      </c>
      <c r="BE55" s="100">
        <v>-1.8177435106465782E-5</v>
      </c>
      <c r="BF55" s="97">
        <v>-5.2393099346799519E-4</v>
      </c>
    </row>
    <row r="56" spans="1:58" ht="15.75" x14ac:dyDescent="0.25">
      <c r="A56" s="182"/>
      <c r="B56" s="15" t="s">
        <v>101</v>
      </c>
      <c r="C56" s="130"/>
      <c r="D56" s="35">
        <v>-51000</v>
      </c>
      <c r="E56" s="17">
        <v>-2.6236638220320471E-3</v>
      </c>
      <c r="F56" s="18">
        <v>-6.6082120640037725E-2</v>
      </c>
      <c r="G56" s="130"/>
      <c r="H56" s="35"/>
      <c r="I56" s="21">
        <v>0</v>
      </c>
      <c r="J56" s="18">
        <v>0</v>
      </c>
      <c r="K56" s="19">
        <v>0</v>
      </c>
      <c r="L56" s="35"/>
      <c r="M56" s="21">
        <v>0</v>
      </c>
      <c r="N56" s="18">
        <v>0</v>
      </c>
      <c r="O56" s="130"/>
      <c r="P56" s="35">
        <v>0</v>
      </c>
      <c r="Q56" s="21">
        <v>0</v>
      </c>
      <c r="R56" s="18">
        <v>0</v>
      </c>
      <c r="S56" s="130"/>
      <c r="T56" s="16">
        <v>-77586.239999999991</v>
      </c>
      <c r="U56" s="21">
        <v>-3.4101494376255238E-3</v>
      </c>
      <c r="V56" s="18">
        <v>-8.9727646798953592E-2</v>
      </c>
      <c r="W56" s="130"/>
      <c r="X56" s="16"/>
      <c r="Y56" s="21">
        <v>0</v>
      </c>
      <c r="Z56" s="18">
        <v>0</v>
      </c>
      <c r="AB56" s="16">
        <v>-32500</v>
      </c>
      <c r="AC56" s="21">
        <v>-1.3766374042972266E-3</v>
      </c>
      <c r="AD56" s="18">
        <v>-3.9068745364343099E-2</v>
      </c>
      <c r="AF56" s="95"/>
      <c r="AG56" s="100">
        <v>0</v>
      </c>
      <c r="AH56" s="97">
        <v>0</v>
      </c>
      <c r="AJ56" s="95">
        <v>-34523.33</v>
      </c>
      <c r="AK56" s="100">
        <v>-1.5961574782034789E-3</v>
      </c>
      <c r="AL56" s="97">
        <v>-4.4312036000698246E-2</v>
      </c>
      <c r="AN56" s="95"/>
      <c r="AO56" s="100"/>
      <c r="AP56" s="97"/>
      <c r="AR56" s="95"/>
      <c r="AS56" s="100"/>
      <c r="AT56" s="97"/>
      <c r="AV56" s="95"/>
      <c r="AW56" s="100"/>
      <c r="AX56" s="97"/>
      <c r="AZ56" s="95"/>
      <c r="BA56" s="100"/>
      <c r="BB56" s="97"/>
      <c r="BD56" s="95">
        <v>-23844.910000000003</v>
      </c>
      <c r="BE56" s="100">
        <v>-9.2879850888110801E-5</v>
      </c>
      <c r="BF56" s="97">
        <v>-2.6770901540260571E-3</v>
      </c>
    </row>
    <row r="57" spans="1:58" ht="15.75" x14ac:dyDescent="0.25">
      <c r="A57" s="182"/>
      <c r="B57" s="15" t="s">
        <v>54</v>
      </c>
      <c r="C57" s="130"/>
      <c r="D57" s="35">
        <v>-13619.86</v>
      </c>
      <c r="E57" s="17"/>
      <c r="F57" s="18"/>
      <c r="G57" s="130"/>
      <c r="H57" s="35"/>
      <c r="I57" s="21"/>
      <c r="J57" s="18"/>
      <c r="K57" s="19">
        <v>0</v>
      </c>
      <c r="L57" s="35"/>
      <c r="M57" s="21">
        <v>0</v>
      </c>
      <c r="N57" s="18">
        <v>0</v>
      </c>
      <c r="O57" s="130"/>
      <c r="P57" s="35">
        <v>0</v>
      </c>
      <c r="Q57" s="21">
        <v>0</v>
      </c>
      <c r="R57" s="18">
        <v>0</v>
      </c>
      <c r="S57" s="130"/>
      <c r="T57" s="16"/>
      <c r="U57" s="21">
        <v>0</v>
      </c>
      <c r="V57" s="18">
        <v>0</v>
      </c>
      <c r="W57" s="130"/>
      <c r="X57" s="16">
        <v>-5643</v>
      </c>
      <c r="Y57" s="21">
        <v>-2.2471128005229645E-4</v>
      </c>
      <c r="Z57" s="18">
        <v>-6.3696424399015258E-3</v>
      </c>
      <c r="AB57" s="16"/>
      <c r="AC57" s="21">
        <v>0</v>
      </c>
      <c r="AD57" s="18">
        <v>0</v>
      </c>
      <c r="AF57" s="95"/>
      <c r="AG57" s="100">
        <v>0</v>
      </c>
      <c r="AH57" s="97">
        <v>0</v>
      </c>
      <c r="AJ57" s="95"/>
      <c r="AK57" s="100">
        <v>0</v>
      </c>
      <c r="AL57" s="97">
        <v>0</v>
      </c>
      <c r="AN57" s="95"/>
      <c r="AO57" s="100"/>
      <c r="AP57" s="97"/>
      <c r="AR57" s="95"/>
      <c r="AS57" s="100"/>
      <c r="AT57" s="97"/>
      <c r="AV57" s="95"/>
      <c r="AW57" s="100"/>
      <c r="AX57" s="97"/>
      <c r="AZ57" s="95"/>
      <c r="BA57" s="100"/>
      <c r="BB57" s="97"/>
      <c r="BD57" s="95">
        <v>-1605.2383333333335</v>
      </c>
      <c r="BE57" s="100">
        <v>-6.2526676359809911E-6</v>
      </c>
      <c r="BF57" s="97">
        <v>-1.8022159601490902E-4</v>
      </c>
    </row>
    <row r="58" spans="1:58" ht="15.75" x14ac:dyDescent="0.25">
      <c r="A58" s="182"/>
      <c r="B58" s="15" t="s">
        <v>45</v>
      </c>
      <c r="C58" s="130"/>
      <c r="D58" s="35">
        <v>-7129.57</v>
      </c>
      <c r="E58" s="17">
        <v>-3.667763701106867E-4</v>
      </c>
      <c r="F58" s="18">
        <v>-9.2379824480704666E-3</v>
      </c>
      <c r="G58" s="130"/>
      <c r="H58" s="35">
        <v>-3350</v>
      </c>
      <c r="I58" s="21">
        <v>-1.8634387531625614E-4</v>
      </c>
      <c r="J58" s="18">
        <v>-4.6294249010546797E-3</v>
      </c>
      <c r="K58" s="19">
        <v>4.6294249010546797E-3</v>
      </c>
      <c r="L58" s="35">
        <v>-12957.6</v>
      </c>
      <c r="M58" s="21">
        <v>-5.7451834496187329E-4</v>
      </c>
      <c r="N58" s="18">
        <v>-1.4310168506938847E-2</v>
      </c>
      <c r="O58" s="130"/>
      <c r="P58" s="35">
        <v>-200</v>
      </c>
      <c r="Q58" s="21">
        <v>-9.019627385663257E-6</v>
      </c>
      <c r="R58" s="18">
        <v>-2.2909601918175149E-4</v>
      </c>
      <c r="S58" s="130"/>
      <c r="T58" s="16"/>
      <c r="U58" s="21">
        <v>0</v>
      </c>
      <c r="V58" s="18">
        <v>0</v>
      </c>
      <c r="W58" s="130"/>
      <c r="X58" s="16">
        <v>-671.38000000000011</v>
      </c>
      <c r="Y58" s="21">
        <v>-2.673518681579139E-5</v>
      </c>
      <c r="Z58" s="18">
        <v>-7.5783280902021752E-4</v>
      </c>
      <c r="AB58" s="16">
        <v>-2493.75</v>
      </c>
      <c r="AC58" s="21">
        <v>-1.0563044698357566E-4</v>
      </c>
      <c r="AD58" s="18">
        <v>-2.9977748846870952E-3</v>
      </c>
      <c r="AF58" s="95">
        <v>-564.20000000000005</v>
      </c>
      <c r="AG58" s="100">
        <v>-2.3716428191577794E-5</v>
      </c>
      <c r="AH58" s="97">
        <v>-6.6877263271438478E-4</v>
      </c>
      <c r="AJ58" s="95">
        <v>-806</v>
      </c>
      <c r="AK58" s="100">
        <v>-3.7264740320009805E-5</v>
      </c>
      <c r="AL58" s="97">
        <v>-1.0345323297770749E-3</v>
      </c>
      <c r="AN58" s="95"/>
      <c r="AO58" s="100"/>
      <c r="AP58" s="97"/>
      <c r="AR58" s="95"/>
      <c r="AS58" s="100"/>
      <c r="AT58" s="97"/>
      <c r="AV58" s="95"/>
      <c r="AW58" s="100"/>
      <c r="AX58" s="97"/>
      <c r="AZ58" s="95"/>
      <c r="BA58" s="100"/>
      <c r="BB58" s="97"/>
      <c r="BD58" s="95">
        <v>-7548.5058333333336</v>
      </c>
      <c r="BE58" s="100">
        <v>-2.9402673200613233E-5</v>
      </c>
      <c r="BF58" s="97">
        <v>-8.4747774866941923E-4</v>
      </c>
    </row>
    <row r="59" spans="1:58" ht="15.75" x14ac:dyDescent="0.25">
      <c r="A59" s="183"/>
      <c r="B59" s="15" t="s">
        <v>119</v>
      </c>
      <c r="C59" s="130"/>
      <c r="D59" s="35"/>
      <c r="E59" s="17"/>
      <c r="F59" s="18"/>
      <c r="G59" s="130"/>
      <c r="H59" s="35"/>
      <c r="I59" s="21"/>
      <c r="J59" s="18"/>
      <c r="K59" s="19"/>
      <c r="L59" s="35"/>
      <c r="M59" s="21"/>
      <c r="N59" s="18"/>
      <c r="O59" s="130"/>
      <c r="P59" s="35"/>
      <c r="Q59" s="21"/>
      <c r="R59" s="18"/>
      <c r="S59" s="130"/>
      <c r="T59" s="16"/>
      <c r="U59" s="21"/>
      <c r="V59" s="18"/>
      <c r="W59" s="130"/>
      <c r="X59" s="16"/>
      <c r="Y59" s="21"/>
      <c r="Z59" s="18"/>
      <c r="AB59" s="16">
        <v>-508.62</v>
      </c>
      <c r="AC59" s="21"/>
      <c r="AD59" s="18"/>
      <c r="AF59" s="95">
        <v>-470</v>
      </c>
      <c r="AG59" s="100"/>
      <c r="AH59" s="97"/>
      <c r="AJ59" s="95"/>
      <c r="AK59" s="100">
        <v>0</v>
      </c>
      <c r="AL59" s="97">
        <v>0</v>
      </c>
      <c r="AN59" s="95"/>
      <c r="AO59" s="100"/>
      <c r="AP59" s="97"/>
      <c r="AR59" s="95"/>
      <c r="AS59" s="100"/>
      <c r="AT59" s="97"/>
      <c r="AV59" s="95"/>
      <c r="AW59" s="100"/>
      <c r="AX59" s="97"/>
      <c r="AZ59" s="95"/>
      <c r="BA59" s="100"/>
      <c r="BB59" s="97"/>
      <c r="BD59" s="95">
        <v>-81.551666666666662</v>
      </c>
      <c r="BE59" s="100">
        <v>-3.1765717042659899E-7</v>
      </c>
      <c r="BF59" s="97">
        <v>-9.1558812290651676E-6</v>
      </c>
    </row>
    <row r="60" spans="1:58" ht="15.75" x14ac:dyDescent="0.25">
      <c r="A60" s="23" t="s">
        <v>55</v>
      </c>
      <c r="B60" s="23"/>
      <c r="C60" s="129"/>
      <c r="D60" s="13">
        <v>-310736.93</v>
      </c>
      <c r="E60" s="24">
        <v>-1.5985671400202052E-2</v>
      </c>
      <c r="F60" s="14">
        <v>-0.40263049599166589</v>
      </c>
      <c r="G60" s="129"/>
      <c r="H60" s="13">
        <v>-210340</v>
      </c>
      <c r="I60" s="24">
        <v>-1.1700170368364573E-2</v>
      </c>
      <c r="J60" s="14">
        <v>-0.2906726070709974</v>
      </c>
      <c r="K60" s="19"/>
      <c r="L60" s="13">
        <v>-327878.89999999997</v>
      </c>
      <c r="M60" s="24">
        <v>-1.4537602872130604E-2</v>
      </c>
      <c r="N60" s="14">
        <v>-0.36210427153714814</v>
      </c>
      <c r="O60" s="129"/>
      <c r="P60" s="13">
        <v>-23480</v>
      </c>
      <c r="Q60" s="24">
        <v>-1.0589042550768664E-3</v>
      </c>
      <c r="R60" s="14">
        <v>-2.6895872651937623E-2</v>
      </c>
      <c r="S60" s="129"/>
      <c r="T60" s="13">
        <v>-132896.63999999998</v>
      </c>
      <c r="U60" s="24">
        <v>-5.8412084689027557E-3</v>
      </c>
      <c r="V60" s="14">
        <v>-0.15369352574229256</v>
      </c>
      <c r="W60" s="129"/>
      <c r="X60" s="13">
        <v>-81914.38</v>
      </c>
      <c r="Y60" s="24">
        <v>-3.2619325154156003E-3</v>
      </c>
      <c r="Z60" s="14">
        <v>-9.2462397888750811E-2</v>
      </c>
      <c r="AB60" s="13">
        <v>-170003.66999999998</v>
      </c>
      <c r="AC60" s="24">
        <v>-7.2010280304554541E-3</v>
      </c>
      <c r="AD60" s="14">
        <v>-0.20436400289950193</v>
      </c>
      <c r="AF60" s="13">
        <v>-148715.25</v>
      </c>
      <c r="AG60" s="24">
        <v>-6.2513196519275779E-3</v>
      </c>
      <c r="AH60" s="14">
        <v>-0.17627913730464004</v>
      </c>
      <c r="AJ60" s="13">
        <v>-317484.33</v>
      </c>
      <c r="AK60" s="24">
        <v>-1.4678624209829154E-2</v>
      </c>
      <c r="AL60" s="14">
        <v>-0.40750347839033957</v>
      </c>
      <c r="AN60" s="13"/>
      <c r="AO60" s="24"/>
      <c r="AP60" s="14"/>
      <c r="AR60" s="13"/>
      <c r="AS60" s="24"/>
      <c r="AT60" s="14"/>
      <c r="AV60" s="13"/>
      <c r="AW60" s="24"/>
      <c r="AX60" s="14"/>
      <c r="AZ60" s="13"/>
      <c r="BA60" s="24"/>
      <c r="BB60" s="14"/>
      <c r="BD60" s="13">
        <v>-216109.21416666667</v>
      </c>
      <c r="BE60" s="24">
        <v>-8.4178097494797845E-4</v>
      </c>
      <c r="BF60" s="14">
        <v>-2.4262781844842013E-2</v>
      </c>
    </row>
    <row r="61" spans="1:58" ht="15.75" x14ac:dyDescent="0.25">
      <c r="A61" s="181" t="s">
        <v>43</v>
      </c>
      <c r="B61" s="15" t="s">
        <v>102</v>
      </c>
      <c r="C61" s="130"/>
      <c r="D61" s="16">
        <v>-339938.45</v>
      </c>
      <c r="E61" s="17">
        <v>-1.7487925744757844E-2</v>
      </c>
      <c r="F61" s="18">
        <v>-0.44046771888406738</v>
      </c>
      <c r="G61" s="130"/>
      <c r="H61" s="35">
        <v>-339803.85000000003</v>
      </c>
      <c r="I61" s="21">
        <v>-1.8901601867577257E-2</v>
      </c>
      <c r="J61" s="18">
        <v>-0.46958101631768639</v>
      </c>
      <c r="K61" s="19">
        <v>0.46958101631768639</v>
      </c>
      <c r="L61" s="16">
        <v>-339772.2</v>
      </c>
      <c r="M61" s="21">
        <v>-1.5064931932460841E-2</v>
      </c>
      <c r="N61" s="18">
        <v>-0.37523904395669933</v>
      </c>
      <c r="O61" s="130"/>
      <c r="P61" s="16">
        <v>-519103.27</v>
      </c>
      <c r="Q61" s="21">
        <v>-2.3410590350396741E-2</v>
      </c>
      <c r="R61" s="18">
        <v>-0.59462246350614967</v>
      </c>
      <c r="S61" s="130"/>
      <c r="T61" s="16">
        <v>-553848.52</v>
      </c>
      <c r="U61" s="21">
        <v>-2.4343314214063331E-2</v>
      </c>
      <c r="V61" s="18">
        <v>-0.64051981875501629</v>
      </c>
      <c r="W61" s="130"/>
      <c r="X61" s="16">
        <v>-1001040.56</v>
      </c>
      <c r="Y61" s="21">
        <v>-3.9862680422092449E-2</v>
      </c>
      <c r="Z61" s="18">
        <v>-1.1299433696684016</v>
      </c>
      <c r="AB61" s="16">
        <v>-831806.73</v>
      </c>
      <c r="AC61" s="21">
        <v>-3.52337310050512E-2</v>
      </c>
      <c r="AD61" s="18">
        <v>-0.99992754851436583</v>
      </c>
      <c r="AF61" s="95">
        <v>-850065.59000000008</v>
      </c>
      <c r="AG61" s="100">
        <v>-3.5732930739748689E-2</v>
      </c>
      <c r="AH61" s="97">
        <v>-1.0076224789156449</v>
      </c>
      <c r="AJ61" s="114">
        <v>-1048723.7</v>
      </c>
      <c r="AK61" s="100">
        <v>-4.8486868918039529E-2</v>
      </c>
      <c r="AL61" s="97">
        <v>-1.3460776335650548</v>
      </c>
      <c r="AN61" s="95"/>
      <c r="AO61" s="100"/>
      <c r="AP61" s="97"/>
      <c r="AR61" s="95"/>
      <c r="AS61" s="100"/>
      <c r="AT61" s="97"/>
      <c r="AV61" s="95"/>
      <c r="AW61" s="100"/>
      <c r="AX61" s="97"/>
      <c r="AZ61" s="95"/>
      <c r="BA61" s="100"/>
      <c r="BB61" s="97"/>
      <c r="BD61" s="95">
        <v>-739084.22583333321</v>
      </c>
      <c r="BE61" s="100">
        <v>-2.878854761420982E-3</v>
      </c>
      <c r="BF61" s="97">
        <v>-8.2977671292296218E-2</v>
      </c>
    </row>
    <row r="62" spans="1:58" ht="15.75" x14ac:dyDescent="0.25">
      <c r="A62" s="182"/>
      <c r="B62" s="15" t="s">
        <v>103</v>
      </c>
      <c r="C62" s="130"/>
      <c r="D62" s="16"/>
      <c r="E62" s="17"/>
      <c r="F62" s="18"/>
      <c r="G62" s="130"/>
      <c r="H62" s="35"/>
      <c r="I62" s="21"/>
      <c r="J62" s="18"/>
      <c r="K62" s="19">
        <v>0</v>
      </c>
      <c r="L62" s="16"/>
      <c r="M62" s="21"/>
      <c r="N62" s="18"/>
      <c r="O62" s="130"/>
      <c r="P62" s="16"/>
      <c r="Q62" s="21"/>
      <c r="R62" s="18"/>
      <c r="S62" s="130"/>
      <c r="T62" s="16">
        <v>-5000</v>
      </c>
      <c r="U62" s="21"/>
      <c r="V62" s="18"/>
      <c r="W62" s="130"/>
      <c r="X62" s="16"/>
      <c r="Y62" s="21">
        <v>0</v>
      </c>
      <c r="Z62" s="18">
        <v>0</v>
      </c>
      <c r="AB62" s="16">
        <v>-10000</v>
      </c>
      <c r="AC62" s="21">
        <v>-4.2358073978376203E-4</v>
      </c>
      <c r="AD62" s="18">
        <v>-1.2021152419797876E-2</v>
      </c>
      <c r="AF62" s="95">
        <v>-5000</v>
      </c>
      <c r="AG62" s="100">
        <v>-2.1017749194946644E-4</v>
      </c>
      <c r="AH62" s="97">
        <v>-5.926733717780794E-3</v>
      </c>
      <c r="AJ62" s="114">
        <v>-5000</v>
      </c>
      <c r="AK62" s="100">
        <v>-2.3117084565762904E-4</v>
      </c>
      <c r="AL62" s="97">
        <v>-6.4176943534558E-3</v>
      </c>
      <c r="AN62" s="95"/>
      <c r="AO62" s="100"/>
      <c r="AP62" s="97"/>
      <c r="AR62" s="95"/>
      <c r="AS62" s="100"/>
      <c r="AT62" s="97"/>
      <c r="AV62" s="95"/>
      <c r="AW62" s="100"/>
      <c r="AX62" s="97"/>
      <c r="AZ62" s="95"/>
      <c r="BA62" s="100"/>
      <c r="BB62" s="97"/>
      <c r="BD62" s="95">
        <v>-3833.3333333333335</v>
      </c>
      <c r="BE62" s="100">
        <v>-1.4931464551739751E-5</v>
      </c>
      <c r="BF62" s="97">
        <v>-4.3037188749156741E-4</v>
      </c>
    </row>
    <row r="63" spans="1:58" ht="15.75" x14ac:dyDescent="0.25">
      <c r="A63" s="182"/>
      <c r="B63" s="15" t="s">
        <v>44</v>
      </c>
      <c r="C63" s="130"/>
      <c r="D63" s="16">
        <v>-101599.91</v>
      </c>
      <c r="E63" s="17">
        <v>-5.2267452586021966E-3</v>
      </c>
      <c r="F63" s="18">
        <v>-0.13164583352229364</v>
      </c>
      <c r="G63" s="130"/>
      <c r="H63" s="35">
        <v>-42899.91</v>
      </c>
      <c r="I63" s="21">
        <v>-2.3863090985428688E-3</v>
      </c>
      <c r="J63" s="18">
        <v>-5.9284152718508863E-2</v>
      </c>
      <c r="K63" s="19">
        <v>5.9284152718508863E-2</v>
      </c>
      <c r="L63" s="16">
        <v>-77730.790000000008</v>
      </c>
      <c r="M63" s="21">
        <v>-3.4464534191037638E-3</v>
      </c>
      <c r="N63" s="18">
        <v>-8.584465511186308E-2</v>
      </c>
      <c r="O63" s="130"/>
      <c r="P63" s="16">
        <v>-122669.88</v>
      </c>
      <c r="Q63" s="21">
        <v>-5.5321830452201275E-3</v>
      </c>
      <c r="R63" s="18">
        <v>-0.14051590590751578</v>
      </c>
      <c r="S63" s="130"/>
      <c r="T63" s="16">
        <v>-83411.19</v>
      </c>
      <c r="U63" s="21">
        <v>-3.6661735724037633E-3</v>
      </c>
      <c r="V63" s="18">
        <v>-9.6464138427128462E-2</v>
      </c>
      <c r="W63" s="130"/>
      <c r="X63" s="16">
        <v>-47160.53</v>
      </c>
      <c r="Y63" s="21">
        <v>-1.8779909736389737E-3</v>
      </c>
      <c r="Z63" s="18">
        <v>-5.3233335703747851E-2</v>
      </c>
      <c r="AB63" s="16">
        <v>-87452.790000000008</v>
      </c>
      <c r="AC63" s="21">
        <v>-3.7043317484353991E-3</v>
      </c>
      <c r="AD63" s="18">
        <v>-0.10512833181265756</v>
      </c>
      <c r="AF63" s="95">
        <v>-85044.3</v>
      </c>
      <c r="AG63" s="100">
        <v>-3.5748795357196019E-3</v>
      </c>
      <c r="AH63" s="97">
        <v>-0.10080698406301304</v>
      </c>
      <c r="AJ63" s="114">
        <v>-86066.4</v>
      </c>
      <c r="AK63" s="100">
        <v>-3.9792084941415529E-3</v>
      </c>
      <c r="AL63" s="97">
        <v>-0.11046956986045364</v>
      </c>
      <c r="AN63" s="95"/>
      <c r="AO63" s="100"/>
      <c r="AP63" s="97"/>
      <c r="AR63" s="95"/>
      <c r="AS63" s="100"/>
      <c r="AT63" s="97"/>
      <c r="AV63" s="95"/>
      <c r="AW63" s="100"/>
      <c r="AX63" s="97"/>
      <c r="AZ63" s="95"/>
      <c r="BA63" s="100"/>
      <c r="BB63" s="97"/>
      <c r="BD63" s="95">
        <v>-76451.345000000016</v>
      </c>
      <c r="BE63" s="100">
        <v>-2.9779057768704163E-4</v>
      </c>
      <c r="BF63" s="97">
        <v>-8.5832633866745247E-3</v>
      </c>
    </row>
    <row r="64" spans="1:58" ht="15.75" x14ac:dyDescent="0.25">
      <c r="A64" s="182"/>
      <c r="B64" s="15" t="s">
        <v>45</v>
      </c>
      <c r="C64" s="130"/>
      <c r="D64" s="16">
        <v>-27629.670000000006</v>
      </c>
      <c r="E64" s="17">
        <v>-1.4213914822291021E-3</v>
      </c>
      <c r="F64" s="18">
        <v>-3.5800533062439834E-2</v>
      </c>
      <c r="G64" s="130"/>
      <c r="H64" s="35">
        <v>-67890.549999999988</v>
      </c>
      <c r="I64" s="21">
        <v>-3.776414383388672E-3</v>
      </c>
      <c r="J64" s="18">
        <v>-9.3819164989939627E-2</v>
      </c>
      <c r="K64" s="19">
        <v>9.3819164989939627E-2</v>
      </c>
      <c r="L64" s="16">
        <v>-59754.020000000004</v>
      </c>
      <c r="M64" s="21">
        <v>-2.6493934582961873E-3</v>
      </c>
      <c r="N64" s="18">
        <v>-6.599139463843566E-2</v>
      </c>
      <c r="O64" s="130"/>
      <c r="P64" s="16">
        <v>-43452.180000000008</v>
      </c>
      <c r="Q64" s="21">
        <v>-1.9596123634738468E-3</v>
      </c>
      <c r="R64" s="18">
        <v>-4.9773607313844601E-2</v>
      </c>
      <c r="S64" s="130"/>
      <c r="T64" s="16">
        <v>-12037.530000000002</v>
      </c>
      <c r="U64" s="21">
        <v>-5.290857780954508E-4</v>
      </c>
      <c r="V64" s="18">
        <v>-1.3921273155804537E-2</v>
      </c>
      <c r="W64" s="130"/>
      <c r="X64" s="16">
        <v>-33827.93</v>
      </c>
      <c r="Y64" s="21">
        <v>-1.3470702555058445E-3</v>
      </c>
      <c r="Z64" s="18">
        <v>-3.8183912561052281E-2</v>
      </c>
      <c r="AB64" s="16">
        <v>-41307.58</v>
      </c>
      <c r="AC64" s="21">
        <v>-1.7497095295076935E-3</v>
      </c>
      <c r="AD64" s="18">
        <v>-4.9656471527299441E-2</v>
      </c>
      <c r="AF64" s="95">
        <v>-55671.23</v>
      </c>
      <c r="AG64" s="100">
        <v>-2.3401678990283789E-3</v>
      </c>
      <c r="AH64" s="97">
        <v>-6.5989711190265934E-2</v>
      </c>
      <c r="AJ64" s="114">
        <v>-49029.900000000016</v>
      </c>
      <c r="AK64" s="100">
        <v>-2.266856689101798E-3</v>
      </c>
      <c r="AL64" s="97">
        <v>-6.2931782476100526E-2</v>
      </c>
      <c r="AN64" s="95"/>
      <c r="AO64" s="100"/>
      <c r="AP64" s="97"/>
      <c r="AR64" s="95"/>
      <c r="AS64" s="100"/>
      <c r="AT64" s="97"/>
      <c r="AV64" s="95"/>
      <c r="AW64" s="100"/>
      <c r="AX64" s="97"/>
      <c r="AZ64" s="95"/>
      <c r="BA64" s="100"/>
      <c r="BB64" s="97"/>
      <c r="BD64" s="95">
        <v>-34258.280833333331</v>
      </c>
      <c r="BE64" s="100">
        <v>-1.3344164500864224E-4</v>
      </c>
      <c r="BF64" s="97">
        <v>-3.8462089524672659E-3</v>
      </c>
    </row>
    <row r="65" spans="1:58" ht="15.75" x14ac:dyDescent="0.25">
      <c r="A65" s="182"/>
      <c r="B65" s="15" t="s">
        <v>46</v>
      </c>
      <c r="C65" s="130"/>
      <c r="D65" s="16">
        <v>-170</v>
      </c>
      <c r="E65" s="17">
        <v>-8.7455460734401574E-6</v>
      </c>
      <c r="F65" s="18">
        <v>-2.2027373546679244E-4</v>
      </c>
      <c r="G65" s="130"/>
      <c r="H65" s="35">
        <v>-350</v>
      </c>
      <c r="I65" s="21">
        <v>-1.946876309274318E-5</v>
      </c>
      <c r="J65" s="18">
        <v>-4.8367125831914567E-4</v>
      </c>
      <c r="K65" s="19">
        <v>4.8367125831914567E-4</v>
      </c>
      <c r="L65" s="16">
        <v>-1394</v>
      </c>
      <c r="M65" s="21">
        <v>-6.1807632036553939E-5</v>
      </c>
      <c r="N65" s="18">
        <v>-1.5395115529629523E-3</v>
      </c>
      <c r="O65" s="130"/>
      <c r="P65" s="16">
        <v>-4002.88</v>
      </c>
      <c r="Q65" s="21">
        <v>-1.805224303476187E-4</v>
      </c>
      <c r="R65" s="18">
        <v>-4.5852193663112467E-3</v>
      </c>
      <c r="S65" s="130"/>
      <c r="T65" s="16">
        <v>-870.03</v>
      </c>
      <c r="U65" s="21">
        <v>-3.8240444635767048E-5</v>
      </c>
      <c r="V65" s="18">
        <v>-1.0061802781587766E-3</v>
      </c>
      <c r="W65" s="130"/>
      <c r="X65" s="16">
        <v>-1099</v>
      </c>
      <c r="Y65" s="21">
        <v>-4.3763547187218463E-5</v>
      </c>
      <c r="Z65" s="18">
        <v>-1.2405169309678853E-3</v>
      </c>
      <c r="AB65" s="16">
        <v>-450</v>
      </c>
      <c r="AC65" s="21">
        <v>-1.906113329026929E-5</v>
      </c>
      <c r="AD65" s="18">
        <v>-5.4095185889090449E-4</v>
      </c>
      <c r="AF65" s="95">
        <v>-150</v>
      </c>
      <c r="AG65" s="100">
        <v>-6.3053247584839928E-6</v>
      </c>
      <c r="AH65" s="97">
        <v>-1.7780201153342381E-4</v>
      </c>
      <c r="AJ65" s="114">
        <v>-700</v>
      </c>
      <c r="AK65" s="100">
        <v>-3.2363918392068064E-5</v>
      </c>
      <c r="AL65" s="97">
        <v>-8.9847720948381198E-4</v>
      </c>
      <c r="AN65" s="95"/>
      <c r="AO65" s="100"/>
      <c r="AP65" s="97"/>
      <c r="AR65" s="95"/>
      <c r="AS65" s="100"/>
      <c r="AT65" s="97"/>
      <c r="AV65" s="95"/>
      <c r="AW65" s="100"/>
      <c r="AX65" s="97"/>
      <c r="AZ65" s="95"/>
      <c r="BA65" s="100"/>
      <c r="BB65" s="97"/>
      <c r="BD65" s="95">
        <v>-919.65916666666669</v>
      </c>
      <c r="BE65" s="100">
        <v>-3.582223890460657E-6</v>
      </c>
      <c r="BF65" s="97">
        <v>-1.0325098732363182E-4</v>
      </c>
    </row>
    <row r="66" spans="1:58" ht="15.75" x14ac:dyDescent="0.25">
      <c r="A66" s="182"/>
      <c r="B66" s="15" t="s">
        <v>10</v>
      </c>
      <c r="C66" s="130"/>
      <c r="D66" s="16">
        <v>-643717.08600000001</v>
      </c>
      <c r="E66" s="17">
        <v>-3.311563196396259E-2</v>
      </c>
      <c r="F66" s="18">
        <v>-0.83408215951187337</v>
      </c>
      <c r="G66" s="130"/>
      <c r="H66" s="35">
        <v>-1318876.8399999999</v>
      </c>
      <c r="I66" s="21">
        <v>-7.3362573561330718E-2</v>
      </c>
      <c r="J66" s="18">
        <v>-1.8225794879165098</v>
      </c>
      <c r="K66" s="19">
        <v>1.8225794879165098</v>
      </c>
      <c r="L66" s="16">
        <v>-839962.10000000009</v>
      </c>
      <c r="M66" s="21">
        <v>-3.7242516787267664E-2</v>
      </c>
      <c r="N66" s="18">
        <v>-0.92764085868079116</v>
      </c>
      <c r="O66" s="130"/>
      <c r="P66" s="16">
        <v>-908061.66</v>
      </c>
      <c r="Q66" s="21">
        <v>-4.095188908203419E-2</v>
      </c>
      <c r="R66" s="18">
        <v>-1.0401665573878656</v>
      </c>
      <c r="S66" s="130"/>
      <c r="T66" s="16">
        <v>-889211.81</v>
      </c>
      <c r="U66" s="21">
        <v>-3.9083543084462845E-2</v>
      </c>
      <c r="V66" s="18">
        <v>-1.0283638338078795</v>
      </c>
      <c r="W66" s="130"/>
      <c r="X66" s="16">
        <v>-901699.86</v>
      </c>
      <c r="Y66" s="21">
        <v>-3.590681016543975E-2</v>
      </c>
      <c r="Z66" s="18">
        <v>-1.0178106851513848</v>
      </c>
      <c r="AB66" s="16">
        <v>-889211.81</v>
      </c>
      <c r="AC66" s="21">
        <v>-3.7665299630425808E-2</v>
      </c>
      <c r="AD66" s="18">
        <v>-1.0689350701494351</v>
      </c>
      <c r="AF66" s="95">
        <v>-892986.47000000009</v>
      </c>
      <c r="AG66" s="100">
        <v>-3.7537131321881495E-2</v>
      </c>
      <c r="AH66" s="97">
        <v>-1.0584986042542095</v>
      </c>
      <c r="AJ66" s="114">
        <v>-903299.3</v>
      </c>
      <c r="AK66" s="100">
        <v>-4.1763292612588876E-2</v>
      </c>
      <c r="AL66" s="97">
        <v>-1.1594197634181154</v>
      </c>
      <c r="AN66" s="95"/>
      <c r="AO66" s="100"/>
      <c r="AP66" s="97"/>
      <c r="AR66" s="95"/>
      <c r="AS66" s="100"/>
      <c r="AT66" s="97"/>
      <c r="AV66" s="95"/>
      <c r="AW66" s="100"/>
      <c r="AX66" s="97"/>
      <c r="AZ66" s="95"/>
      <c r="BA66" s="100"/>
      <c r="BB66" s="97"/>
      <c r="BD66" s="95">
        <v>-904849.77966666687</v>
      </c>
      <c r="BE66" s="100">
        <v>-3.5245388894980067E-3</v>
      </c>
      <c r="BF66" s="97">
        <v>-0.10158832371429713</v>
      </c>
    </row>
    <row r="67" spans="1:58" ht="15.75" x14ac:dyDescent="0.25">
      <c r="A67" s="182"/>
      <c r="B67" s="15" t="s">
        <v>18</v>
      </c>
      <c r="C67" s="130"/>
      <c r="D67" s="16">
        <v>-144230.93</v>
      </c>
      <c r="E67" s="17">
        <v>-7.4198720207654242E-3</v>
      </c>
      <c r="F67" s="18">
        <v>-0.18688403365264386</v>
      </c>
      <c r="G67" s="130"/>
      <c r="H67" s="35">
        <v>-134228.07</v>
      </c>
      <c r="I67" s="21">
        <v>-7.4664414149318518E-3</v>
      </c>
      <c r="J67" s="18">
        <v>-0.18549217005328678</v>
      </c>
      <c r="K67" s="19">
        <v>0.18549217005328678</v>
      </c>
      <c r="L67" s="16">
        <v>-137928.20000000001</v>
      </c>
      <c r="M67" s="21">
        <v>-6.1155060495439164E-3</v>
      </c>
      <c r="N67" s="18">
        <v>-0.15232572265379105</v>
      </c>
      <c r="O67" s="130"/>
      <c r="P67" s="16">
        <v>-135465.88999999998</v>
      </c>
      <c r="Q67" s="21">
        <v>-6.1092592563362315E-3</v>
      </c>
      <c r="R67" s="18">
        <v>-0.15517348066956516</v>
      </c>
      <c r="S67" s="130"/>
      <c r="T67" s="16">
        <v>-167345.47</v>
      </c>
      <c r="U67" s="21">
        <v>-7.3553385292247572E-3</v>
      </c>
      <c r="V67" s="18">
        <v>-0.19353322477754931</v>
      </c>
      <c r="W67" s="130"/>
      <c r="X67" s="16">
        <v>-162865.11999999997</v>
      </c>
      <c r="Y67" s="21">
        <v>-6.4854916872356654E-3</v>
      </c>
      <c r="Z67" s="18">
        <v>-0.18383706899373642</v>
      </c>
      <c r="AB67" s="16">
        <v>-147123.49</v>
      </c>
      <c r="AC67" s="21">
        <v>-6.231867673376891E-3</v>
      </c>
      <c r="AD67" s="18">
        <v>-0.17685938978226085</v>
      </c>
      <c r="AF67" s="95">
        <v>-164307.13</v>
      </c>
      <c r="AG67" s="100">
        <v>-6.9067320985629873E-3</v>
      </c>
      <c r="AH67" s="97">
        <v>-0.19476092148855845</v>
      </c>
      <c r="AJ67" s="114">
        <v>-150681.21</v>
      </c>
      <c r="AK67" s="100">
        <v>-6.9666205480829572E-3</v>
      </c>
      <c r="AL67" s="97">
        <v>-0.19340519011777751</v>
      </c>
      <c r="AN67" s="95"/>
      <c r="AO67" s="100"/>
      <c r="AP67" s="97"/>
      <c r="AR67" s="95"/>
      <c r="AS67" s="100"/>
      <c r="AT67" s="97"/>
      <c r="AV67" s="95"/>
      <c r="AW67" s="100"/>
      <c r="AX67" s="97"/>
      <c r="AZ67" s="95"/>
      <c r="BA67" s="100"/>
      <c r="BB67" s="97"/>
      <c r="BD67" s="95">
        <v>-120342.03083333332</v>
      </c>
      <c r="BE67" s="100">
        <v>-4.6875202629711874E-4</v>
      </c>
      <c r="BF67" s="97">
        <v>-1.3510911379385234E-2</v>
      </c>
    </row>
    <row r="68" spans="1:58" ht="15.75" x14ac:dyDescent="0.25">
      <c r="A68" s="182"/>
      <c r="B68" s="15" t="s">
        <v>47</v>
      </c>
      <c r="C68" s="130"/>
      <c r="D68" s="16">
        <v>-627298.48</v>
      </c>
      <c r="E68" s="17">
        <v>-3.2270986815523407E-2</v>
      </c>
      <c r="F68" s="18">
        <v>-0.81280811436612344</v>
      </c>
      <c r="G68" s="130"/>
      <c r="H68" s="35">
        <v>-223934.13</v>
      </c>
      <c r="I68" s="21">
        <v>-1.2456344358141582E-2</v>
      </c>
      <c r="J68" s="18">
        <v>-0.30945857839343754</v>
      </c>
      <c r="K68" s="19">
        <v>0.30945857839343754</v>
      </c>
      <c r="L68" s="16">
        <v>-601066.08000000007</v>
      </c>
      <c r="M68" s="21">
        <v>-2.6650266213984145E-2</v>
      </c>
      <c r="N68" s="18">
        <v>-0.66380787249221973</v>
      </c>
      <c r="O68" s="130"/>
      <c r="P68" s="16">
        <v>-221732.74</v>
      </c>
      <c r="Q68" s="21">
        <v>-9.9997334700107528E-3</v>
      </c>
      <c r="R68" s="18">
        <v>-0.25399044028131157</v>
      </c>
      <c r="S68" s="130"/>
      <c r="T68" s="16">
        <v>-709712.12</v>
      </c>
      <c r="U68" s="21">
        <v>-3.119398989942055E-2</v>
      </c>
      <c r="V68" s="18">
        <v>-0.82077438515252932</v>
      </c>
      <c r="W68" s="130"/>
      <c r="X68" s="16">
        <v>-313955.82</v>
      </c>
      <c r="Y68" s="21">
        <v>-1.2502111322358386E-2</v>
      </c>
      <c r="Z68" s="18">
        <v>-0.3543835398415886</v>
      </c>
      <c r="AB68" s="16">
        <v>-705499.07000000007</v>
      </c>
      <c r="AC68" s="21">
        <v>-2.9883581798735615E-2</v>
      </c>
      <c r="AD68" s="18">
        <v>-0.84809118524956517</v>
      </c>
      <c r="AF68" s="95">
        <v>-267444.67</v>
      </c>
      <c r="AG68" s="100">
        <v>-1.1242169995170541E-2</v>
      </c>
      <c r="AH68" s="97">
        <v>-0.31701466866595152</v>
      </c>
      <c r="AJ68" s="114">
        <v>-730317.38</v>
      </c>
      <c r="AK68" s="100">
        <v>-3.3765617266612806E-2</v>
      </c>
      <c r="AL68" s="97">
        <v>-0.93739074517132681</v>
      </c>
      <c r="AN68" s="95"/>
      <c r="AO68" s="100"/>
      <c r="AP68" s="97"/>
      <c r="AR68" s="95"/>
      <c r="AS68" s="100"/>
      <c r="AT68" s="97"/>
      <c r="AV68" s="95"/>
      <c r="AW68" s="100"/>
      <c r="AX68" s="97"/>
      <c r="AZ68" s="95"/>
      <c r="BA68" s="100"/>
      <c r="BB68" s="97"/>
      <c r="BD68" s="95">
        <v>-468465.04083333333</v>
      </c>
      <c r="BE68" s="100">
        <v>-1.8247484741562342E-3</v>
      </c>
      <c r="BF68" s="97">
        <v>-5.2595004481892832E-2</v>
      </c>
    </row>
    <row r="69" spans="1:58" ht="15.75" x14ac:dyDescent="0.25">
      <c r="A69" s="182"/>
      <c r="B69" s="15" t="s">
        <v>48</v>
      </c>
      <c r="C69" s="130"/>
      <c r="D69" s="16"/>
      <c r="E69" s="17">
        <v>0</v>
      </c>
      <c r="F69" s="18">
        <v>0</v>
      </c>
      <c r="G69" s="130"/>
      <c r="H69" s="35">
        <v>-964.65999999999985</v>
      </c>
      <c r="I69" s="21">
        <v>-5.3659248585844667E-5</v>
      </c>
      <c r="J69" s="18">
        <v>-1.3330809030004198E-3</v>
      </c>
      <c r="K69" s="19">
        <v>1.3330809030004198E-3</v>
      </c>
      <c r="L69" s="16">
        <v>0</v>
      </c>
      <c r="M69" s="21">
        <v>0</v>
      </c>
      <c r="N69" s="18">
        <v>0</v>
      </c>
      <c r="O69" s="130"/>
      <c r="P69" s="16">
        <v>0</v>
      </c>
      <c r="Q69" s="21">
        <v>0</v>
      </c>
      <c r="R69" s="18">
        <v>0</v>
      </c>
      <c r="S69" s="130"/>
      <c r="T69" s="16"/>
      <c r="U69" s="21">
        <v>0</v>
      </c>
      <c r="V69" s="18">
        <v>0</v>
      </c>
      <c r="W69" s="130"/>
      <c r="X69" s="16"/>
      <c r="Y69" s="21">
        <v>0</v>
      </c>
      <c r="Z69" s="18">
        <v>0</v>
      </c>
      <c r="AB69" s="16">
        <v>-68</v>
      </c>
      <c r="AC69" s="21">
        <v>-2.8803490305295819E-6</v>
      </c>
      <c r="AD69" s="18">
        <v>-8.1743836454625554E-5</v>
      </c>
      <c r="AF69" s="95">
        <v>-194</v>
      </c>
      <c r="AG69" s="100">
        <v>-8.1548866876392974E-6</v>
      </c>
      <c r="AH69" s="97">
        <v>-2.299572682498948E-4</v>
      </c>
      <c r="AJ69" s="114"/>
      <c r="AK69" s="100">
        <v>0</v>
      </c>
      <c r="AL69" s="97">
        <v>0</v>
      </c>
      <c r="AN69" s="95"/>
      <c r="AO69" s="100"/>
      <c r="AP69" s="97"/>
      <c r="AR69" s="95"/>
      <c r="AS69" s="100"/>
      <c r="AT69" s="97"/>
      <c r="AV69" s="95"/>
      <c r="AW69" s="100"/>
      <c r="AX69" s="97"/>
      <c r="AZ69" s="95"/>
      <c r="BA69" s="100"/>
      <c r="BB69" s="97"/>
      <c r="BD69" s="95">
        <v>-102.22166666666665</v>
      </c>
      <c r="BE69" s="100">
        <v>-3.9817022406602346E-7</v>
      </c>
      <c r="BF69" s="97">
        <v>-1.1476521293704478E-5</v>
      </c>
    </row>
    <row r="70" spans="1:58" ht="15.75" x14ac:dyDescent="0.25">
      <c r="A70" s="183"/>
      <c r="B70" s="15" t="s">
        <v>49</v>
      </c>
      <c r="C70" s="130"/>
      <c r="D70" s="16">
        <v>-5606.36</v>
      </c>
      <c r="E70" s="17">
        <v>-2.8841576284877621E-4</v>
      </c>
      <c r="F70" s="18">
        <v>-7.2643168210094495E-3</v>
      </c>
      <c r="G70" s="130"/>
      <c r="H70" s="35">
        <v>-5955.6099999999988</v>
      </c>
      <c r="I70" s="21">
        <v>-3.3128102903649196E-4</v>
      </c>
      <c r="J70" s="18">
        <v>-8.2301639507373903E-3</v>
      </c>
      <c r="K70" s="19">
        <v>8.2301639507373903E-3</v>
      </c>
      <c r="L70" s="16">
        <v>-6489.41</v>
      </c>
      <c r="M70" s="21">
        <v>-2.8772960216236264E-4</v>
      </c>
      <c r="N70" s="18">
        <v>-7.1668017696652165E-3</v>
      </c>
      <c r="O70" s="130"/>
      <c r="P70" s="16">
        <v>-12199.09</v>
      </c>
      <c r="Q70" s="21">
        <v>-5.5015623122085387E-4</v>
      </c>
      <c r="R70" s="18">
        <v>-1.3973814783199564E-2</v>
      </c>
      <c r="S70" s="130"/>
      <c r="T70" s="16">
        <v>-5647.6500000000005</v>
      </c>
      <c r="U70" s="21">
        <v>-2.482312646083351E-4</v>
      </c>
      <c r="V70" s="18">
        <v>-6.5314460971959767E-3</v>
      </c>
      <c r="W70" s="130"/>
      <c r="X70" s="16">
        <v>-4082.81</v>
      </c>
      <c r="Y70" s="21">
        <v>-1.625825733316173E-4</v>
      </c>
      <c r="Z70" s="18">
        <v>-4.6085486177661443E-3</v>
      </c>
      <c r="AB70" s="16">
        <v>-7750.4030550000016</v>
      </c>
      <c r="AC70" s="21">
        <v>-3.2829214596592299E-4</v>
      </c>
      <c r="AD70" s="18">
        <v>-9.3168776439022122E-3</v>
      </c>
      <c r="AF70" s="95">
        <v>-3199.0603550000001</v>
      </c>
      <c r="AG70" s="100">
        <v>-1.3447409640177395E-4</v>
      </c>
      <c r="AH70" s="97">
        <v>-3.7919957742388595E-3</v>
      </c>
      <c r="AJ70" s="114">
        <v>-8495.371847999997</v>
      </c>
      <c r="AK70" s="100">
        <v>-3.9277645885563481E-4</v>
      </c>
      <c r="AL70" s="97">
        <v>-1.090413998788339E-2</v>
      </c>
      <c r="AN70" s="95"/>
      <c r="AO70" s="100"/>
      <c r="AP70" s="97"/>
      <c r="AR70" s="95"/>
      <c r="AS70" s="100"/>
      <c r="AT70" s="97"/>
      <c r="AV70" s="95"/>
      <c r="AW70" s="100"/>
      <c r="AX70" s="97"/>
      <c r="AZ70" s="95"/>
      <c r="BA70" s="100"/>
      <c r="BB70" s="97"/>
      <c r="BD70" s="95">
        <v>-6234.5135179999997</v>
      </c>
      <c r="BE70" s="100">
        <v>-2.4284456762963291E-5</v>
      </c>
      <c r="BF70" s="97">
        <v>-6.9995461313043968E-4</v>
      </c>
    </row>
    <row r="71" spans="1:58" ht="15.75" x14ac:dyDescent="0.25">
      <c r="A71" s="23" t="s">
        <v>50</v>
      </c>
      <c r="B71" s="23"/>
      <c r="C71" s="129"/>
      <c r="D71" s="13">
        <v>-1890190.8859999999</v>
      </c>
      <c r="E71" s="24">
        <v>-9.7239714594762772E-2</v>
      </c>
      <c r="F71" s="14">
        <v>-2.4491729835559175</v>
      </c>
      <c r="G71" s="129"/>
      <c r="H71" s="13">
        <v>-2134903.62</v>
      </c>
      <c r="I71" s="24">
        <v>-0.11875409372462803</v>
      </c>
      <c r="J71" s="14">
        <v>-2.9502614865014265</v>
      </c>
      <c r="K71" s="19"/>
      <c r="L71" s="13">
        <v>-2064096.8</v>
      </c>
      <c r="M71" s="24">
        <v>-9.1518605094855432E-2</v>
      </c>
      <c r="N71" s="14">
        <v>-2.2795558608564277</v>
      </c>
      <c r="O71" s="129"/>
      <c r="P71" s="13">
        <v>-1966687.59</v>
      </c>
      <c r="Q71" s="24">
        <v>-8.8693946229040366E-2</v>
      </c>
      <c r="R71" s="14">
        <v>-2.2528014892157633</v>
      </c>
      <c r="S71" s="129"/>
      <c r="T71" s="13">
        <v>-2427084.3199999998</v>
      </c>
      <c r="U71" s="24">
        <v>-0.10667768187912867</v>
      </c>
      <c r="V71" s="14">
        <v>-2.8068967463333507</v>
      </c>
      <c r="W71" s="129"/>
      <c r="X71" s="13">
        <v>-2465731.63</v>
      </c>
      <c r="Y71" s="24">
        <v>-9.8188500946789894E-2</v>
      </c>
      <c r="Z71" s="14">
        <v>-2.7832409774686453</v>
      </c>
      <c r="AB71" s="13">
        <v>-2720669.8730550003</v>
      </c>
      <c r="AC71" s="24">
        <v>-0.1152423357536031</v>
      </c>
      <c r="AD71" s="14">
        <v>-3.2705587227946298</v>
      </c>
      <c r="AF71" s="13">
        <v>-2324062.4503550003</v>
      </c>
      <c r="AG71" s="24">
        <v>-9.769312338990907E-2</v>
      </c>
      <c r="AH71" s="14">
        <v>-2.7548198573494465</v>
      </c>
      <c r="AJ71" s="13">
        <v>-2982313.2618479999</v>
      </c>
      <c r="AK71" s="24">
        <v>-0.13788477575147284</v>
      </c>
      <c r="AL71" s="14">
        <v>-3.8279149961596515</v>
      </c>
      <c r="AN71" s="13"/>
      <c r="AO71" s="24"/>
      <c r="AP71" s="14"/>
      <c r="AR71" s="13"/>
      <c r="AS71" s="24"/>
      <c r="AT71" s="14"/>
      <c r="AV71" s="13"/>
      <c r="AW71" s="24"/>
      <c r="AX71" s="14"/>
      <c r="AZ71" s="13"/>
      <c r="BA71" s="24"/>
      <c r="BB71" s="14"/>
      <c r="BD71" s="13">
        <v>-2354540.4306846671</v>
      </c>
      <c r="BE71" s="24">
        <v>-9.171322689497257E-3</v>
      </c>
      <c r="BF71" s="14">
        <v>-0.26434643721625256</v>
      </c>
    </row>
    <row r="72" spans="1:58" ht="15.75" x14ac:dyDescent="0.25">
      <c r="A72" s="181" t="s">
        <v>56</v>
      </c>
      <c r="B72" s="15" t="s">
        <v>57</v>
      </c>
      <c r="C72" s="130"/>
      <c r="D72" s="16">
        <v>-36000</v>
      </c>
      <c r="E72" s="17">
        <v>-1.8519979920226216E-3</v>
      </c>
      <c r="F72" s="18">
        <v>-4.6646202804732514E-2</v>
      </c>
      <c r="G72" s="130"/>
      <c r="H72" s="35">
        <v>-18000</v>
      </c>
      <c r="I72" s="21">
        <v>-1.0012506733410777E-3</v>
      </c>
      <c r="J72" s="18">
        <v>-2.4874521856413204E-2</v>
      </c>
      <c r="K72" s="19">
        <v>2.4874521856413204E-2</v>
      </c>
      <c r="L72" s="16">
        <v>-18000</v>
      </c>
      <c r="M72" s="21">
        <v>-7.9808994021375243E-4</v>
      </c>
      <c r="N72" s="18">
        <v>-1.9878915318029513E-2</v>
      </c>
      <c r="O72" s="130"/>
      <c r="P72" s="16">
        <v>-18000</v>
      </c>
      <c r="Q72" s="21">
        <v>-8.1176646470969315E-4</v>
      </c>
      <c r="R72" s="18">
        <v>-2.0618641726357634E-2</v>
      </c>
      <c r="S72" s="130"/>
      <c r="T72" s="16">
        <v>-18000</v>
      </c>
      <c r="U72" s="21">
        <v>-7.9115433196994E-4</v>
      </c>
      <c r="V72" s="18">
        <v>-2.0816805175520363E-2</v>
      </c>
      <c r="W72" s="130"/>
      <c r="X72" s="16">
        <v>-18000</v>
      </c>
      <c r="Y72" s="21">
        <v>-7.1678239251131242E-4</v>
      </c>
      <c r="Z72" s="18">
        <v>-2.0317838723768824E-2</v>
      </c>
      <c r="AB72" s="16">
        <v>-18000</v>
      </c>
      <c r="AC72" s="21">
        <v>-7.6244533161077166E-4</v>
      </c>
      <c r="AD72" s="18">
        <v>-2.1638074355636177E-2</v>
      </c>
      <c r="AF72" s="95">
        <v>-21000</v>
      </c>
      <c r="AG72" s="100">
        <v>-8.8274546618775907E-4</v>
      </c>
      <c r="AH72" s="97">
        <v>-2.4892281614679334E-2</v>
      </c>
      <c r="AJ72" s="95">
        <v>-21000</v>
      </c>
      <c r="AK72" s="100">
        <v>-9.7091755176204194E-4</v>
      </c>
      <c r="AL72" s="97">
        <v>-2.6954316284514359E-2</v>
      </c>
      <c r="AN72" s="95"/>
      <c r="AO72" s="100"/>
      <c r="AP72" s="97"/>
      <c r="AR72" s="95"/>
      <c r="AS72" s="100"/>
      <c r="AT72" s="97"/>
      <c r="AV72" s="95"/>
      <c r="AW72" s="100"/>
      <c r="AX72" s="97"/>
      <c r="AZ72" s="95"/>
      <c r="BA72" s="100"/>
      <c r="BB72" s="97"/>
      <c r="BD72" s="95">
        <v>-20750</v>
      </c>
      <c r="BE72" s="100">
        <v>-8.0824666812678218E-5</v>
      </c>
      <c r="BF72" s="97">
        <v>-2.3296217388130498E-3</v>
      </c>
    </row>
    <row r="73" spans="1:58" ht="15.75" x14ac:dyDescent="0.25">
      <c r="A73" s="182"/>
      <c r="B73" s="15" t="s">
        <v>58</v>
      </c>
      <c r="C73" s="130"/>
      <c r="D73" s="16">
        <v>-900</v>
      </c>
      <c r="E73" s="17">
        <v>-4.6299949800565541E-5</v>
      </c>
      <c r="F73" s="18">
        <v>-1.1661550701183129E-3</v>
      </c>
      <c r="G73" s="130"/>
      <c r="H73" s="35"/>
      <c r="I73" s="21">
        <v>0</v>
      </c>
      <c r="J73" s="18">
        <v>0</v>
      </c>
      <c r="K73" s="19">
        <v>0</v>
      </c>
      <c r="L73" s="16">
        <v>-900</v>
      </c>
      <c r="M73" s="21">
        <v>-3.990449701068762E-5</v>
      </c>
      <c r="N73" s="18">
        <v>-9.9394576590147569E-4</v>
      </c>
      <c r="O73" s="130"/>
      <c r="P73" s="16">
        <v>-1003.45</v>
      </c>
      <c r="Q73" s="21">
        <v>-4.5253725500718978E-5</v>
      </c>
      <c r="R73" s="18">
        <v>-1.1494320022396426E-3</v>
      </c>
      <c r="S73" s="130"/>
      <c r="T73" s="16">
        <v>-120</v>
      </c>
      <c r="U73" s="21">
        <v>-5.2743622131329332E-6</v>
      </c>
      <c r="V73" s="18">
        <v>-1.3877870117013575E-4</v>
      </c>
      <c r="W73" s="130"/>
      <c r="X73" s="16">
        <v>-1140</v>
      </c>
      <c r="Y73" s="21">
        <v>-4.5396218192383117E-5</v>
      </c>
      <c r="Z73" s="18">
        <v>-1.2867964525053589E-3</v>
      </c>
      <c r="AB73" s="16">
        <v>-900</v>
      </c>
      <c r="AC73" s="21">
        <v>-3.812226658053858E-5</v>
      </c>
      <c r="AD73" s="18">
        <v>-1.081903717781809E-3</v>
      </c>
      <c r="AF73" s="95">
        <v>-900</v>
      </c>
      <c r="AG73" s="100">
        <v>-3.7831948550903958E-5</v>
      </c>
      <c r="AH73" s="97">
        <v>-1.066812069200543E-3</v>
      </c>
      <c r="AJ73" s="95">
        <v>-900</v>
      </c>
      <c r="AK73" s="100">
        <v>-4.1610752218373225E-5</v>
      </c>
      <c r="AL73" s="97">
        <v>-1.1551849836220439E-3</v>
      </c>
      <c r="AN73" s="95"/>
      <c r="AO73" s="100"/>
      <c r="AP73" s="97"/>
      <c r="AR73" s="95"/>
      <c r="AS73" s="100"/>
      <c r="AT73" s="97"/>
      <c r="AV73" s="95"/>
      <c r="AW73" s="100"/>
      <c r="AX73" s="97"/>
      <c r="AZ73" s="95"/>
      <c r="BA73" s="100"/>
      <c r="BB73" s="97"/>
      <c r="BD73" s="95">
        <v>-791.12083333333339</v>
      </c>
      <c r="BE73" s="100">
        <v>-3.0815459162763858E-6</v>
      </c>
      <c r="BF73" s="97">
        <v>-8.8819869463191756E-5</v>
      </c>
    </row>
    <row r="74" spans="1:58" ht="15.75" x14ac:dyDescent="0.25">
      <c r="A74" s="182"/>
      <c r="B74" s="15" t="s">
        <v>59</v>
      </c>
      <c r="C74" s="130"/>
      <c r="D74" s="16">
        <v>-7695</v>
      </c>
      <c r="E74" s="17">
        <v>-3.9586457079483534E-4</v>
      </c>
      <c r="F74" s="18">
        <v>-9.970625849511576E-3</v>
      </c>
      <c r="G74" s="130"/>
      <c r="H74" s="35">
        <v>-1765</v>
      </c>
      <c r="I74" s="21">
        <v>-9.8178191024833464E-5</v>
      </c>
      <c r="J74" s="18">
        <v>-2.4390850598094058E-3</v>
      </c>
      <c r="K74" s="19">
        <v>2.4390850598094058E-3</v>
      </c>
      <c r="L74" s="16">
        <v>-435</v>
      </c>
      <c r="M74" s="21">
        <v>-1.9287173555165685E-5</v>
      </c>
      <c r="N74" s="18">
        <v>-4.8040712018571324E-4</v>
      </c>
      <c r="O74" s="130"/>
      <c r="P74" s="16">
        <v>-2700</v>
      </c>
      <c r="Q74" s="21">
        <v>-1.2176496970645398E-4</v>
      </c>
      <c r="R74" s="18">
        <v>-3.0927962589536451E-3</v>
      </c>
      <c r="S74" s="130"/>
      <c r="T74" s="16">
        <v>-1070</v>
      </c>
      <c r="U74" s="21">
        <v>-4.7029729733768658E-5</v>
      </c>
      <c r="V74" s="18">
        <v>-1.2374434187670438E-3</v>
      </c>
      <c r="W74" s="130"/>
      <c r="X74" s="16">
        <v>-1694.31</v>
      </c>
      <c r="Y74" s="21">
        <v>-6.746953196976899E-5</v>
      </c>
      <c r="Z74" s="18">
        <v>-1.9124842960038196E-3</v>
      </c>
      <c r="AB74" s="16">
        <v>-291.20999999999998</v>
      </c>
      <c r="AC74" s="21">
        <v>-1.2335094723242933E-5</v>
      </c>
      <c r="AD74" s="18">
        <v>-3.5006797961693393E-4</v>
      </c>
      <c r="AF74" s="95">
        <v>-9740</v>
      </c>
      <c r="AG74" s="100">
        <v>-4.0942575431756061E-4</v>
      </c>
      <c r="AH74" s="97">
        <v>-1.1545277282236987E-2</v>
      </c>
      <c r="AJ74" s="95">
        <v>-7949.14</v>
      </c>
      <c r="AK74" s="100">
        <v>-3.6752188321017708E-4</v>
      </c>
      <c r="AL74" s="97">
        <v>-1.0203030178565928E-2</v>
      </c>
      <c r="AN74" s="95"/>
      <c r="AO74" s="100"/>
      <c r="AP74" s="97"/>
      <c r="AR74" s="95"/>
      <c r="AS74" s="100"/>
      <c r="AT74" s="97"/>
      <c r="AV74" s="95"/>
      <c r="AW74" s="100"/>
      <c r="AX74" s="97"/>
      <c r="AZ74" s="95"/>
      <c r="BA74" s="100"/>
      <c r="BB74" s="97"/>
      <c r="BD74" s="95">
        <v>-4658.833333333333</v>
      </c>
      <c r="BE74" s="100">
        <v>-1.8146922983251357E-5</v>
      </c>
      <c r="BF74" s="97">
        <v>-5.230515378718166E-4</v>
      </c>
    </row>
    <row r="75" spans="1:58" ht="15.75" x14ac:dyDescent="0.25">
      <c r="A75" s="182"/>
      <c r="B75" s="15" t="s">
        <v>60</v>
      </c>
      <c r="C75" s="130"/>
      <c r="D75" s="16">
        <v>-3745.99</v>
      </c>
      <c r="E75" s="17">
        <v>-1.9271016550380054E-4</v>
      </c>
      <c r="F75" s="18">
        <v>-4.8537835901249987E-3</v>
      </c>
      <c r="G75" s="130"/>
      <c r="H75" s="35">
        <v>-7785.28</v>
      </c>
      <c r="I75" s="21">
        <v>-4.3305649123049034E-4</v>
      </c>
      <c r="J75" s="18">
        <v>-1.0758617639905366E-2</v>
      </c>
      <c r="K75" s="19">
        <v>1.0758617639905366E-2</v>
      </c>
      <c r="L75" s="16">
        <v>-15364.31</v>
      </c>
      <c r="M75" s="21">
        <v>-6.8122784718475319E-4</v>
      </c>
      <c r="N75" s="18">
        <v>-1.6968100967219669E-2</v>
      </c>
      <c r="O75" s="130"/>
      <c r="P75" s="16">
        <v>-39601.479999999996</v>
      </c>
      <c r="Q75" s="21">
        <v>-1.7859529676039787E-3</v>
      </c>
      <c r="R75" s="18">
        <v>-4.5362707108528737E-2</v>
      </c>
      <c r="S75" s="130"/>
      <c r="T75" s="16">
        <v>-7006.6299999999992</v>
      </c>
      <c r="U75" s="21">
        <v>-3.0796253761169665E-4</v>
      </c>
      <c r="V75" s="18">
        <v>-8.1030917581642343E-3</v>
      </c>
      <c r="W75" s="130"/>
      <c r="X75" s="16">
        <v>-16590.09</v>
      </c>
      <c r="Y75" s="21">
        <v>-6.6063802234322217E-4</v>
      </c>
      <c r="Z75" s="18">
        <v>-1.872637627960055E-2</v>
      </c>
      <c r="AB75" s="16">
        <v>-9004.0399999999991</v>
      </c>
      <c r="AC75" s="21">
        <v>-3.8139379242425843E-4</v>
      </c>
      <c r="AD75" s="18">
        <v>-1.0823893723395686E-2</v>
      </c>
      <c r="AF75" s="95">
        <v>-5294.4</v>
      </c>
      <c r="AG75" s="100">
        <v>-2.22552742675451E-4</v>
      </c>
      <c r="AH75" s="97">
        <v>-6.2756997990837263E-3</v>
      </c>
      <c r="AJ75" s="95">
        <v>-22364.589999999997</v>
      </c>
      <c r="AK75" s="100">
        <v>-1.0340082366172307E-3</v>
      </c>
      <c r="AL75" s="97">
        <v>-2.8705820592070806E-2</v>
      </c>
      <c r="AN75" s="95"/>
      <c r="AO75" s="100"/>
      <c r="AP75" s="97"/>
      <c r="AR75" s="95"/>
      <c r="AS75" s="100"/>
      <c r="AT75" s="97"/>
      <c r="AV75" s="95"/>
      <c r="AW75" s="100"/>
      <c r="AX75" s="97"/>
      <c r="AZ75" s="95"/>
      <c r="BA75" s="100"/>
      <c r="BB75" s="97"/>
      <c r="BD75" s="95">
        <v>-20136.350000000002</v>
      </c>
      <c r="BE75" s="100">
        <v>-7.8434399015589072E-5</v>
      </c>
      <c r="BF75" s="97">
        <v>-2.2607266843541283E-3</v>
      </c>
    </row>
    <row r="76" spans="1:58" ht="15.75" x14ac:dyDescent="0.25">
      <c r="A76" s="182"/>
      <c r="B76" s="15" t="s">
        <v>23</v>
      </c>
      <c r="C76" s="130"/>
      <c r="D76" s="16">
        <v>-70627.7</v>
      </c>
      <c r="E76" s="17">
        <v>-3.633398849477114E-3</v>
      </c>
      <c r="F76" s="18">
        <v>-9.1514278273105737E-2</v>
      </c>
      <c r="G76" s="130"/>
      <c r="H76" s="35">
        <v>-34162.659999999996</v>
      </c>
      <c r="I76" s="21">
        <v>-1.900299240451239E-3</v>
      </c>
      <c r="J76" s="18">
        <v>-4.7209990713511833E-2</v>
      </c>
      <c r="K76" s="19">
        <v>4.7209990713511833E-2</v>
      </c>
      <c r="L76" s="16">
        <v>-48326.570000000007</v>
      </c>
      <c r="M76" s="21">
        <v>-2.142719409001985E-3</v>
      </c>
      <c r="N76" s="18">
        <v>-5.3371099591156983E-2</v>
      </c>
      <c r="O76" s="130"/>
      <c r="P76" s="16">
        <v>-35025.699999999997</v>
      </c>
      <c r="Q76" s="21">
        <v>-1.5795938146101276E-3</v>
      </c>
      <c r="R76" s="18">
        <v>-4.0121242195271363E-2</v>
      </c>
      <c r="S76" s="130"/>
      <c r="T76" s="16">
        <v>-94031.59</v>
      </c>
      <c r="U76" s="21">
        <v>-4.1329722094734051E-3</v>
      </c>
      <c r="V76" s="18">
        <v>-0.10874651607635603</v>
      </c>
      <c r="W76" s="130"/>
      <c r="X76" s="16">
        <v>-56453</v>
      </c>
      <c r="Y76" s="21">
        <v>-2.2480286891356179E-3</v>
      </c>
      <c r="Z76" s="18">
        <v>-6.3722386081828966E-2</v>
      </c>
      <c r="AB76" s="16">
        <v>-145820.99000000002</v>
      </c>
      <c r="AC76" s="21">
        <v>-6.1766962820200572E-3</v>
      </c>
      <c r="AD76" s="18">
        <v>-0.17529363467958223</v>
      </c>
      <c r="AF76" s="95">
        <v>-69925.610000000015</v>
      </c>
      <c r="AG76" s="100">
        <v>-2.9393578665673067E-3</v>
      </c>
      <c r="AH76" s="97">
        <v>-8.2886094104677982E-2</v>
      </c>
      <c r="AJ76" s="95">
        <v>-23651.48</v>
      </c>
      <c r="AK76" s="100">
        <v>-1.0935065265309E-3</v>
      </c>
      <c r="AL76" s="97">
        <v>-3.0357593929374555E-2</v>
      </c>
      <c r="AN76" s="95"/>
      <c r="AO76" s="100"/>
      <c r="AP76" s="97"/>
      <c r="AR76" s="95"/>
      <c r="AS76" s="100"/>
      <c r="AT76" s="97"/>
      <c r="AV76" s="95"/>
      <c r="AW76" s="100"/>
      <c r="AX76" s="97"/>
      <c r="AZ76" s="95"/>
      <c r="BA76" s="100"/>
      <c r="BB76" s="97"/>
      <c r="BD76" s="95">
        <v>-100446.01500000001</v>
      </c>
      <c r="BE76" s="100">
        <v>-3.9125376843548331E-4</v>
      </c>
      <c r="BF76" s="97">
        <v>-1.1277167234753816E-2</v>
      </c>
    </row>
    <row r="77" spans="1:58" ht="15.75" x14ac:dyDescent="0.25">
      <c r="A77" s="182"/>
      <c r="B77" s="15" t="s">
        <v>24</v>
      </c>
      <c r="C77" s="130"/>
      <c r="D77" s="16">
        <v>-7590.630000000001</v>
      </c>
      <c r="E77" s="17">
        <v>-3.9049531994962981E-4</v>
      </c>
      <c r="F77" s="18">
        <v>-9.8353907332135223E-3</v>
      </c>
      <c r="G77" s="130"/>
      <c r="H77" s="35">
        <v>-11514.37</v>
      </c>
      <c r="I77" s="21">
        <v>-6.4048726197768371E-4</v>
      </c>
      <c r="J77" s="18">
        <v>-1.5911913790434919E-2</v>
      </c>
      <c r="K77" s="19">
        <v>1.5911913790434919E-2</v>
      </c>
      <c r="L77" s="16">
        <v>-14675.640000000001</v>
      </c>
      <c r="M77" s="21">
        <v>-6.5069336945547526E-4</v>
      </c>
      <c r="N77" s="18">
        <v>-1.6207544710993706E-2</v>
      </c>
      <c r="O77" s="130"/>
      <c r="P77" s="16">
        <v>-4918.84</v>
      </c>
      <c r="Q77" s="21">
        <v>-2.218305198484793E-4</v>
      </c>
      <c r="R77" s="18">
        <v>-5.6344333149598328E-3</v>
      </c>
      <c r="S77" s="130"/>
      <c r="T77" s="16">
        <v>-606.02</v>
      </c>
      <c r="U77" s="21">
        <v>-2.6636408236690167E-5</v>
      </c>
      <c r="V77" s="18">
        <v>-7.0085557069271391E-4</v>
      </c>
      <c r="W77" s="130"/>
      <c r="X77" s="16">
        <v>-26237.83</v>
      </c>
      <c r="Y77" s="21">
        <v>-1.0448230312058383E-3</v>
      </c>
      <c r="Z77" s="18">
        <v>-2.9616444355647965E-2</v>
      </c>
      <c r="AB77" s="16">
        <v>-15018.650000000001</v>
      </c>
      <c r="AC77" s="21">
        <v>-6.3616108775533978E-4</v>
      </c>
      <c r="AD77" s="18">
        <v>-1.8054148078959741E-2</v>
      </c>
      <c r="AF77" s="95">
        <v>-9555.49</v>
      </c>
      <c r="AG77" s="100">
        <v>-4.0166978450964139E-4</v>
      </c>
      <c r="AH77" s="97">
        <v>-1.1326568954583439E-2</v>
      </c>
      <c r="AJ77" s="95">
        <v>-1383.67</v>
      </c>
      <c r="AK77" s="100">
        <v>-6.3972832802218317E-5</v>
      </c>
      <c r="AL77" s="97">
        <v>-1.7759942292092375E-3</v>
      </c>
      <c r="AN77" s="95"/>
      <c r="AO77" s="100"/>
      <c r="AP77" s="97"/>
      <c r="AR77" s="95"/>
      <c r="AS77" s="100"/>
      <c r="AT77" s="97"/>
      <c r="AV77" s="95"/>
      <c r="AW77" s="100"/>
      <c r="AX77" s="97"/>
      <c r="AZ77" s="95"/>
      <c r="BA77" s="100"/>
      <c r="BB77" s="97"/>
      <c r="BD77" s="95">
        <v>-8323.7333333333318</v>
      </c>
      <c r="BE77" s="100">
        <v>-3.2422311966469878E-5</v>
      </c>
      <c r="BF77" s="97">
        <v>-9.3451325886342829E-4</v>
      </c>
    </row>
    <row r="78" spans="1:58" ht="15.75" x14ac:dyDescent="0.25">
      <c r="A78" s="182"/>
      <c r="B78" s="15" t="s">
        <v>61</v>
      </c>
      <c r="C78" s="130"/>
      <c r="D78" s="16">
        <v>-179.74</v>
      </c>
      <c r="E78" s="17">
        <v>-9.2466144190596121E-6</v>
      </c>
      <c r="F78" s="18">
        <v>-2.3289412478118396E-4</v>
      </c>
      <c r="G78" s="130"/>
      <c r="H78" s="35"/>
      <c r="I78" s="21">
        <v>0</v>
      </c>
      <c r="J78" s="18">
        <v>0</v>
      </c>
      <c r="K78" s="19">
        <v>0</v>
      </c>
      <c r="L78" s="16"/>
      <c r="M78" s="21">
        <v>0</v>
      </c>
      <c r="N78" s="18">
        <v>0</v>
      </c>
      <c r="O78" s="130"/>
      <c r="P78" s="16">
        <v>-106</v>
      </c>
      <c r="Q78" s="21">
        <v>-4.7804025144015262E-6</v>
      </c>
      <c r="R78" s="18">
        <v>-1.2142089016632829E-4</v>
      </c>
      <c r="S78" s="130"/>
      <c r="T78" s="16">
        <v>-5289.14</v>
      </c>
      <c r="U78" s="21">
        <v>-2.3247366796641603E-4</v>
      </c>
      <c r="V78" s="18">
        <v>-6.1168331625584323E-3</v>
      </c>
      <c r="W78" s="130"/>
      <c r="X78" s="16">
        <v>-416.57</v>
      </c>
      <c r="Y78" s="21">
        <v>-1.6588335624913191E-5</v>
      </c>
      <c r="Z78" s="18">
        <v>-4.7021122650890994E-4</v>
      </c>
      <c r="AB78" s="16">
        <v>-247</v>
      </c>
      <c r="AC78" s="21">
        <v>-1.0462444272658922E-5</v>
      </c>
      <c r="AD78" s="18">
        <v>-2.9692246476900754E-4</v>
      </c>
      <c r="AF78" s="95">
        <v>-229.41</v>
      </c>
      <c r="AG78" s="100">
        <v>-9.6433636856254188E-6</v>
      </c>
      <c r="AH78" s="97">
        <v>-2.719303964392184E-4</v>
      </c>
      <c r="AJ78" s="95"/>
      <c r="AK78" s="100">
        <v>0</v>
      </c>
      <c r="AL78" s="97">
        <v>0</v>
      </c>
      <c r="AN78" s="95"/>
      <c r="AO78" s="100"/>
      <c r="AP78" s="97"/>
      <c r="AR78" s="95"/>
      <c r="AS78" s="100"/>
      <c r="AT78" s="97"/>
      <c r="AV78" s="95"/>
      <c r="AW78" s="100"/>
      <c r="AX78" s="97"/>
      <c r="AZ78" s="95"/>
      <c r="BA78" s="100"/>
      <c r="BB78" s="97"/>
      <c r="BD78" s="95">
        <v>-1012.58</v>
      </c>
      <c r="BE78" s="100">
        <v>-3.9441658371653831E-6</v>
      </c>
      <c r="BF78" s="97">
        <v>-1.1368329543553339E-4</v>
      </c>
    </row>
    <row r="79" spans="1:58" ht="15.75" x14ac:dyDescent="0.25">
      <c r="A79" s="182"/>
      <c r="B79" s="15" t="s">
        <v>62</v>
      </c>
      <c r="C79" s="130"/>
      <c r="D79" s="16"/>
      <c r="E79" s="17"/>
      <c r="F79" s="18"/>
      <c r="G79" s="130"/>
      <c r="H79" s="35"/>
      <c r="I79" s="21"/>
      <c r="J79" s="18"/>
      <c r="K79" s="19">
        <v>0</v>
      </c>
      <c r="L79" s="16"/>
      <c r="M79" s="21"/>
      <c r="N79" s="18"/>
      <c r="O79" s="130"/>
      <c r="P79" s="16"/>
      <c r="Q79" s="21"/>
      <c r="R79" s="18"/>
      <c r="S79" s="130"/>
      <c r="T79" s="16">
        <v>-574.49</v>
      </c>
      <c r="U79" s="21">
        <v>-2.525056956518949E-5</v>
      </c>
      <c r="V79" s="18">
        <v>-6.6439146696026068E-4</v>
      </c>
      <c r="W79" s="130"/>
      <c r="X79" s="16">
        <v>-1124.23</v>
      </c>
      <c r="Y79" s="21">
        <v>-4.4768237174055151E-5</v>
      </c>
      <c r="Z79" s="18">
        <v>-1.2689957682457014E-3</v>
      </c>
      <c r="AB79" s="16"/>
      <c r="AC79" s="21">
        <v>0</v>
      </c>
      <c r="AD79" s="18">
        <v>0</v>
      </c>
      <c r="AF79" s="95"/>
      <c r="AG79" s="100">
        <v>0</v>
      </c>
      <c r="AH79" s="97">
        <v>0</v>
      </c>
      <c r="AJ79" s="95">
        <v>-361</v>
      </c>
      <c r="AK79" s="100">
        <v>-1.6690535056480816E-5</v>
      </c>
      <c r="AL79" s="97">
        <v>-4.6335753231950875E-4</v>
      </c>
      <c r="AN79" s="95"/>
      <c r="AO79" s="100"/>
      <c r="AP79" s="97"/>
      <c r="AR79" s="95"/>
      <c r="AS79" s="100"/>
      <c r="AT79" s="97"/>
      <c r="AV79" s="95"/>
      <c r="AW79" s="100"/>
      <c r="AX79" s="97"/>
      <c r="AZ79" s="95"/>
      <c r="BA79" s="100"/>
      <c r="BB79" s="97"/>
      <c r="BD79" s="95">
        <v>-200.00500000000002</v>
      </c>
      <c r="BE79" s="100">
        <v>-7.7905240895757628E-7</v>
      </c>
      <c r="BF79" s="97">
        <v>-2.2454746788978508E-5</v>
      </c>
    </row>
    <row r="80" spans="1:58" ht="15.75" x14ac:dyDescent="0.25">
      <c r="A80" s="182"/>
      <c r="B80" s="15" t="s">
        <v>45</v>
      </c>
      <c r="C80" s="130"/>
      <c r="D80" s="16">
        <v>-6392.93</v>
      </c>
      <c r="E80" s="17">
        <v>-3.2888037564281051E-4</v>
      </c>
      <c r="F80" s="18">
        <v>-8.2834974804571852E-3</v>
      </c>
      <c r="G80" s="130"/>
      <c r="H80" s="35">
        <v>-5850</v>
      </c>
      <c r="I80" s="21">
        <v>-3.2540646883585028E-4</v>
      </c>
      <c r="J80" s="18">
        <v>-8.0842196033342906E-3</v>
      </c>
      <c r="K80" s="19">
        <v>8.0842196033342906E-3</v>
      </c>
      <c r="L80" s="16">
        <v>-33600</v>
      </c>
      <c r="M80" s="21">
        <v>-1.4897678883990044E-3</v>
      </c>
      <c r="N80" s="18">
        <v>-3.7107308593655089E-2</v>
      </c>
      <c r="O80" s="130"/>
      <c r="P80" s="16">
        <v>5000</v>
      </c>
      <c r="Q80" s="21">
        <v>2.2549068464158142E-4</v>
      </c>
      <c r="R80" s="18">
        <v>5.7274004795437872E-3</v>
      </c>
      <c r="S80" s="130"/>
      <c r="T80" s="16"/>
      <c r="U80" s="21">
        <v>0</v>
      </c>
      <c r="V80" s="18">
        <v>0</v>
      </c>
      <c r="W80" s="130"/>
      <c r="X80" s="16">
        <v>-1289.5999999999999</v>
      </c>
      <c r="Y80" s="21">
        <v>-5.1353476299032693E-5</v>
      </c>
      <c r="Z80" s="18">
        <v>-1.4556602676762374E-3</v>
      </c>
      <c r="AB80" s="16">
        <v>-1287</v>
      </c>
      <c r="AC80" s="21">
        <v>-5.4514841210170173E-5</v>
      </c>
      <c r="AD80" s="18">
        <v>-1.5471223164279866E-3</v>
      </c>
      <c r="AF80" s="95">
        <v>-1973.97</v>
      </c>
      <c r="AG80" s="100">
        <v>-8.297681275669765E-5</v>
      </c>
      <c r="AH80" s="97">
        <v>-2.3398389113775506E-3</v>
      </c>
      <c r="AJ80" s="95"/>
      <c r="AK80" s="100">
        <v>0</v>
      </c>
      <c r="AL80" s="97">
        <v>0</v>
      </c>
      <c r="AN80" s="95"/>
      <c r="AO80" s="100"/>
      <c r="AP80" s="97"/>
      <c r="AR80" s="95"/>
      <c r="AS80" s="100"/>
      <c r="AT80" s="97"/>
      <c r="AV80" s="95"/>
      <c r="AW80" s="100"/>
      <c r="AX80" s="97"/>
      <c r="AZ80" s="95"/>
      <c r="BA80" s="100"/>
      <c r="BB80" s="97"/>
      <c r="BD80" s="95">
        <v>-5135.041666666667</v>
      </c>
      <c r="BE80" s="100">
        <v>-2.000183285674955E-5</v>
      </c>
      <c r="BF80" s="97">
        <v>-5.7651588898204628E-4</v>
      </c>
    </row>
    <row r="81" spans="1:58" ht="15.75" x14ac:dyDescent="0.25">
      <c r="A81" s="182"/>
      <c r="B81" s="15" t="s">
        <v>63</v>
      </c>
      <c r="C81" s="130"/>
      <c r="D81" s="16">
        <v>-16396.14</v>
      </c>
      <c r="E81" s="17">
        <v>-8.434893988033829E-4</v>
      </c>
      <c r="F81" s="18">
        <v>-2.1244935323744083E-2</v>
      </c>
      <c r="G81" s="130"/>
      <c r="H81" s="35">
        <v>-10019.31</v>
      </c>
      <c r="I81" s="21">
        <v>-5.5732449355072188E-4</v>
      </c>
      <c r="J81" s="18">
        <v>-1.3845863643398853E-2</v>
      </c>
      <c r="K81" s="19">
        <v>1.3845863643398853E-2</v>
      </c>
      <c r="L81" s="16">
        <v>-19249.390000000003</v>
      </c>
      <c r="M81" s="21">
        <v>-8.5348580634728925E-4</v>
      </c>
      <c r="N81" s="18">
        <v>-2.125872187409579E-2</v>
      </c>
      <c r="O81" s="130"/>
      <c r="P81" s="16">
        <v>-17069.37</v>
      </c>
      <c r="Q81" s="21">
        <v>-7.6979678554009413E-4</v>
      </c>
      <c r="R81" s="18">
        <v>-1.9552623584702066E-2</v>
      </c>
      <c r="S81" s="130"/>
      <c r="T81" s="16">
        <v>-17198.45</v>
      </c>
      <c r="U81" s="21">
        <v>-7.5592379003713416E-4</v>
      </c>
      <c r="V81" s="18">
        <v>-1.9889821276162678E-2</v>
      </c>
      <c r="W81" s="130"/>
      <c r="X81" s="16">
        <v>-31122.94</v>
      </c>
      <c r="Y81" s="21">
        <v>-1.2393541886214457E-3</v>
      </c>
      <c r="Z81" s="18">
        <v>-3.5130604196085199E-2</v>
      </c>
      <c r="AB81" s="16">
        <v>-22051.25</v>
      </c>
      <c r="AC81" s="21">
        <v>-9.3404847881566825E-4</v>
      </c>
      <c r="AD81" s="18">
        <v>-2.6508143729706793E-2</v>
      </c>
      <c r="AF81" s="95">
        <v>-22619.390000000003</v>
      </c>
      <c r="AG81" s="100">
        <v>-9.5081733192536844E-4</v>
      </c>
      <c r="AH81" s="97">
        <v>-2.6811820277726744E-2</v>
      </c>
      <c r="AJ81" s="95">
        <v>-36499.089999999997</v>
      </c>
      <c r="AK81" s="100">
        <v>-1.6875051002067821E-3</v>
      </c>
      <c r="AL81" s="97">
        <v>-4.6848000759855006E-2</v>
      </c>
      <c r="AN81" s="95"/>
      <c r="AO81" s="100"/>
      <c r="AP81" s="97"/>
      <c r="AR81" s="95"/>
      <c r="AS81" s="100"/>
      <c r="AT81" s="97"/>
      <c r="AV81" s="95"/>
      <c r="AW81" s="100"/>
      <c r="AX81" s="97"/>
      <c r="AZ81" s="95"/>
      <c r="BA81" s="100"/>
      <c r="BB81" s="97"/>
      <c r="BD81" s="95">
        <v>-19998.711666666666</v>
      </c>
      <c r="BE81" s="100">
        <v>-7.7898275042947177E-5</v>
      </c>
      <c r="BF81" s="97">
        <v>-2.2452739010564251E-3</v>
      </c>
    </row>
    <row r="82" spans="1:58" ht="15.75" x14ac:dyDescent="0.25">
      <c r="A82" s="182"/>
      <c r="B82" s="15" t="s">
        <v>104</v>
      </c>
      <c r="C82" s="130"/>
      <c r="D82" s="16">
        <v>-300</v>
      </c>
      <c r="E82" s="17">
        <v>-1.5433316600188512E-5</v>
      </c>
      <c r="F82" s="18">
        <v>-3.887183567061043E-4</v>
      </c>
      <c r="G82" s="130"/>
      <c r="H82" s="35"/>
      <c r="I82" s="21">
        <v>0</v>
      </c>
      <c r="J82" s="18">
        <v>0</v>
      </c>
      <c r="K82" s="19">
        <v>0</v>
      </c>
      <c r="L82" s="16">
        <v>-15948.79</v>
      </c>
      <c r="M82" s="21">
        <v>-7.0714271431009405E-4</v>
      </c>
      <c r="N82" s="18">
        <v>-1.7613591435279775E-2</v>
      </c>
      <c r="O82" s="130"/>
      <c r="P82" s="16">
        <v>-24889.05</v>
      </c>
      <c r="Q82" s="21">
        <v>-1.1224497849157105E-3</v>
      </c>
      <c r="R82" s="18">
        <v>-2.8509911381077859E-2</v>
      </c>
      <c r="S82" s="130"/>
      <c r="T82" s="16">
        <v>-5528</v>
      </c>
      <c r="U82" s="21">
        <v>-2.4297228595165712E-4</v>
      </c>
      <c r="V82" s="18">
        <v>-6.3930721672375871E-3</v>
      </c>
      <c r="W82" s="130"/>
      <c r="X82" s="16">
        <v>-3535</v>
      </c>
      <c r="Y82" s="21">
        <v>-1.4076809764041609E-4</v>
      </c>
      <c r="Z82" s="18">
        <v>-3.9901977715845992E-3</v>
      </c>
      <c r="AB82" s="16">
        <v>-3892.55</v>
      </c>
      <c r="AC82" s="21">
        <v>-1.648809208645283E-4</v>
      </c>
      <c r="AD82" s="18">
        <v>-4.6792936851684222E-3</v>
      </c>
      <c r="AF82" s="95">
        <v>-1480</v>
      </c>
      <c r="AG82" s="100">
        <v>-6.2212537617042064E-5</v>
      </c>
      <c r="AH82" s="97">
        <v>-1.7543131804631149E-3</v>
      </c>
      <c r="AJ82" s="95">
        <v>-10000</v>
      </c>
      <c r="AK82" s="100">
        <v>-4.6234169131525809E-4</v>
      </c>
      <c r="AL82" s="97">
        <v>-1.28353887069116E-2</v>
      </c>
      <c r="AN82" s="95"/>
      <c r="AO82" s="100"/>
      <c r="AP82" s="97"/>
      <c r="AR82" s="95"/>
      <c r="AS82" s="100"/>
      <c r="AT82" s="97"/>
      <c r="AV82" s="95"/>
      <c r="AW82" s="100"/>
      <c r="AX82" s="97"/>
      <c r="AZ82" s="95"/>
      <c r="BA82" s="100"/>
      <c r="BB82" s="97"/>
      <c r="BD82" s="95">
        <v>-5464.4491666666663</v>
      </c>
      <c r="BE82" s="100">
        <v>-2.1284929311356646E-5</v>
      </c>
      <c r="BF82" s="97">
        <v>-6.1349877442436239E-4</v>
      </c>
    </row>
    <row r="83" spans="1:58" ht="15.75" x14ac:dyDescent="0.25">
      <c r="A83" s="182"/>
      <c r="B83" s="15" t="s">
        <v>33</v>
      </c>
      <c r="C83" s="130"/>
      <c r="D83" s="16">
        <v>-2455.63</v>
      </c>
      <c r="E83" s="17">
        <v>-1.2632838414306974E-4</v>
      </c>
      <c r="F83" s="18">
        <v>-3.1818281942607033E-3</v>
      </c>
      <c r="G83" s="130"/>
      <c r="H83" s="35">
        <v>-13967.46</v>
      </c>
      <c r="I83" s="21">
        <v>-7.7694048499247614E-4</v>
      </c>
      <c r="J83" s="18">
        <v>-1.9301882724920952E-2</v>
      </c>
      <c r="K83" s="19">
        <v>1.9301882724920952E-2</v>
      </c>
      <c r="L83" s="16">
        <v>-1232.5</v>
      </c>
      <c r="M83" s="21">
        <v>-5.4646991739636104E-5</v>
      </c>
      <c r="N83" s="18">
        <v>-1.3611535071928543E-3</v>
      </c>
      <c r="O83" s="130"/>
      <c r="P83" s="16"/>
      <c r="Q83" s="21">
        <v>0</v>
      </c>
      <c r="R83" s="18">
        <v>0</v>
      </c>
      <c r="S83" s="130"/>
      <c r="T83" s="16">
        <v>-10647.61</v>
      </c>
      <c r="U83" s="21">
        <v>-4.6799459870146965E-4</v>
      </c>
      <c r="V83" s="18">
        <v>-1.2313845719717911E-2</v>
      </c>
      <c r="W83" s="130"/>
      <c r="X83" s="16">
        <v>-2852.38</v>
      </c>
      <c r="Y83" s="21">
        <v>-1.1358532004174542E-4</v>
      </c>
      <c r="Z83" s="18">
        <v>-3.2196776010502068E-3</v>
      </c>
      <c r="AB83" s="16">
        <v>-560.95000000000005</v>
      </c>
      <c r="AC83" s="21">
        <v>-2.3760761598170132E-5</v>
      </c>
      <c r="AD83" s="18">
        <v>-6.7432654498856192E-4</v>
      </c>
      <c r="AF83" s="95">
        <v>-3490.76</v>
      </c>
      <c r="AG83" s="100">
        <v>-1.4673583635950389E-4</v>
      </c>
      <c r="AH83" s="97">
        <v>-4.1377609985360974E-3</v>
      </c>
      <c r="AJ83" s="95"/>
      <c r="AK83" s="100">
        <v>0</v>
      </c>
      <c r="AL83" s="97">
        <v>0</v>
      </c>
      <c r="AN83" s="95"/>
      <c r="AO83" s="100"/>
      <c r="AP83" s="97"/>
      <c r="AR83" s="95"/>
      <c r="AS83" s="100"/>
      <c r="AT83" s="97"/>
      <c r="AV83" s="95"/>
      <c r="AW83" s="100"/>
      <c r="AX83" s="97"/>
      <c r="AZ83" s="95"/>
      <c r="BA83" s="100"/>
      <c r="BB83" s="97"/>
      <c r="BD83" s="95">
        <v>-4822.8799308333337</v>
      </c>
      <c r="BE83" s="100">
        <v>-1.8785911493356952E-5</v>
      </c>
      <c r="BF83" s="97">
        <v>-5.4146920147250658E-4</v>
      </c>
    </row>
    <row r="84" spans="1:58" ht="15.75" x14ac:dyDescent="0.25">
      <c r="A84" s="182"/>
      <c r="B84" s="15" t="s">
        <v>10</v>
      </c>
      <c r="C84" s="130"/>
      <c r="D84" s="16">
        <v>-11104.82</v>
      </c>
      <c r="E84" s="17">
        <v>-5.7128067616035131E-4</v>
      </c>
      <c r="F84" s="18">
        <v>-1.4388824606390271E-2</v>
      </c>
      <c r="G84" s="130"/>
      <c r="H84" s="35">
        <v>-1212.98</v>
      </c>
      <c r="I84" s="21">
        <v>-6.7472057874958929E-5</v>
      </c>
      <c r="J84" s="18">
        <v>-1.6762387511884494E-3</v>
      </c>
      <c r="K84" s="19">
        <v>1.6762387511884494E-3</v>
      </c>
      <c r="L84" s="16">
        <v>-1212.98</v>
      </c>
      <c r="M84" s="21">
        <v>-5.3781507537804304E-5</v>
      </c>
      <c r="N84" s="18">
        <v>-1.3395959279146356E-3</v>
      </c>
      <c r="O84" s="130"/>
      <c r="P84" s="16">
        <v>-13537.65</v>
      </c>
      <c r="Q84" s="21">
        <v>-6.1052279338762096E-4</v>
      </c>
      <c r="R84" s="18">
        <v>-1.5507108620379189E-2</v>
      </c>
      <c r="S84" s="130"/>
      <c r="T84" s="16"/>
      <c r="U84" s="21">
        <v>0</v>
      </c>
      <c r="V84" s="18">
        <v>0</v>
      </c>
      <c r="W84" s="130"/>
      <c r="X84" s="16">
        <v>-1212.98</v>
      </c>
      <c r="Y84" s="21">
        <v>-4.8302372581576207E-5</v>
      </c>
      <c r="Z84" s="18">
        <v>-1.3691740008420616E-3</v>
      </c>
      <c r="AB84" s="16">
        <v>-2852.36</v>
      </c>
      <c r="AC84" s="21">
        <v>-1.2082047589296116E-4</v>
      </c>
      <c r="AD84" s="18">
        <v>-3.4288654316134673E-3</v>
      </c>
      <c r="AF84" s="95">
        <v>-1639.38</v>
      </c>
      <c r="AG84" s="100">
        <v>-6.8912155350423261E-5</v>
      </c>
      <c r="AH84" s="97">
        <v>-1.9432337444510958E-3</v>
      </c>
      <c r="AJ84" s="95">
        <v>-1639.38</v>
      </c>
      <c r="AK84" s="100">
        <v>-7.5795372190840785E-5</v>
      </c>
      <c r="AL84" s="97">
        <v>-2.1042079538336742E-3</v>
      </c>
      <c r="AN84" s="95"/>
      <c r="AO84" s="100"/>
      <c r="AP84" s="97"/>
      <c r="AR84" s="95"/>
      <c r="AS84" s="100"/>
      <c r="AT84" s="97"/>
      <c r="AV84" s="95"/>
      <c r="AW84" s="100"/>
      <c r="AX84" s="97"/>
      <c r="AZ84" s="95"/>
      <c r="BA84" s="100"/>
      <c r="BB84" s="97"/>
      <c r="BD84" s="95">
        <v>-5623.139166666665</v>
      </c>
      <c r="BE84" s="100">
        <v>-2.1903052992152011E-5</v>
      </c>
      <c r="BF84" s="97">
        <v>-6.3131504785724141E-4</v>
      </c>
    </row>
    <row r="85" spans="1:58" ht="15.75" x14ac:dyDescent="0.25">
      <c r="A85" s="182"/>
      <c r="B85" s="15" t="s">
        <v>64</v>
      </c>
      <c r="C85" s="130"/>
      <c r="D85" s="16">
        <v>-13409.000000000005</v>
      </c>
      <c r="E85" s="17">
        <v>-6.8981780763975955E-4</v>
      </c>
      <c r="F85" s="18">
        <v>-1.7374414816907182E-2</v>
      </c>
      <c r="G85" s="130"/>
      <c r="H85" s="35">
        <v>-24963.489999999998</v>
      </c>
      <c r="I85" s="21">
        <v>-1.3885950650801811E-3</v>
      </c>
      <c r="J85" s="18">
        <v>-3.449749320096402E-2</v>
      </c>
      <c r="K85" s="19">
        <v>3.449749320096402E-2</v>
      </c>
      <c r="L85" s="16">
        <v>-22831.06</v>
      </c>
      <c r="M85" s="21">
        <v>-1.012291072800922E-3</v>
      </c>
      <c r="N85" s="18">
        <v>-2.5214261575602831E-2</v>
      </c>
      <c r="O85" s="130"/>
      <c r="P85" s="16">
        <v>-7937.4899999999989</v>
      </c>
      <c r="Q85" s="21">
        <v>-3.5796601088714116E-4</v>
      </c>
      <c r="R85" s="18">
        <v>-9.0922368064748019E-3</v>
      </c>
      <c r="S85" s="130"/>
      <c r="T85" s="16">
        <v>-43689.49</v>
      </c>
      <c r="U85" s="21">
        <v>-1.9202849597254096E-3</v>
      </c>
      <c r="V85" s="18">
        <v>-5.0526422308213616E-2</v>
      </c>
      <c r="W85" s="130"/>
      <c r="X85" s="16">
        <v>-24801.569999999992</v>
      </c>
      <c r="Y85" s="21">
        <v>-9.8762937125759917E-4</v>
      </c>
      <c r="Z85" s="18">
        <v>-2.7995238853125722E-2</v>
      </c>
      <c r="AB85" s="16">
        <v>-39636.05000000001</v>
      </c>
      <c r="AC85" s="21">
        <v>-1.6789067381106186E-3</v>
      </c>
      <c r="AD85" s="18">
        <v>-4.7647099836872972E-2</v>
      </c>
      <c r="AF85" s="95">
        <v>-35964.490000000005</v>
      </c>
      <c r="AG85" s="100">
        <v>-1.5117852614883335E-3</v>
      </c>
      <c r="AH85" s="97">
        <v>-4.2630391105158046E-2</v>
      </c>
      <c r="AJ85" s="95">
        <v>-41636.649999999994</v>
      </c>
      <c r="AK85" s="100">
        <v>-1.9250359181701437E-3</v>
      </c>
      <c r="AL85" s="97">
        <v>-5.3442258720363081E-2</v>
      </c>
      <c r="AN85" s="95"/>
      <c r="AO85" s="100"/>
      <c r="AP85" s="97"/>
      <c r="AR85" s="95"/>
      <c r="AS85" s="100"/>
      <c r="AT85" s="97"/>
      <c r="AV85" s="95"/>
      <c r="AW85" s="100"/>
      <c r="AX85" s="97"/>
      <c r="AZ85" s="95"/>
      <c r="BA85" s="100"/>
      <c r="BB85" s="97"/>
      <c r="BD85" s="95">
        <v>-27020.926666666663</v>
      </c>
      <c r="BE85" s="100">
        <v>-1.0525095878569373E-4</v>
      </c>
      <c r="BF85" s="97">
        <v>-3.0336644899055369E-3</v>
      </c>
    </row>
    <row r="86" spans="1:58" ht="15.75" x14ac:dyDescent="0.25">
      <c r="A86" s="182"/>
      <c r="B86" s="15" t="s">
        <v>65</v>
      </c>
      <c r="C86" s="130"/>
      <c r="D86" s="16">
        <v>-162425.79999999999</v>
      </c>
      <c r="E86" s="17">
        <v>-8.3558959847963299E-3</v>
      </c>
      <c r="F86" s="18">
        <v>-0.21045963354224784</v>
      </c>
      <c r="G86" s="130"/>
      <c r="H86" s="35">
        <v>-191122.05</v>
      </c>
      <c r="I86" s="21">
        <v>-1.0631171180712619E-2</v>
      </c>
      <c r="J86" s="18">
        <v>-0.26411497833152764</v>
      </c>
      <c r="K86" s="19">
        <v>0.26411497833152764</v>
      </c>
      <c r="L86" s="16">
        <v>-177752.79</v>
      </c>
      <c r="M86" s="21">
        <v>-7.8812618635515381E-3</v>
      </c>
      <c r="N86" s="18">
        <v>-0.19630736999741574</v>
      </c>
      <c r="O86" s="130"/>
      <c r="P86" s="16">
        <v>-138665.80000000002</v>
      </c>
      <c r="Q86" s="21">
        <v>-6.2535692356745212E-3</v>
      </c>
      <c r="R86" s="18">
        <v>-0.1588389138832646</v>
      </c>
      <c r="S86" s="130"/>
      <c r="T86" s="16">
        <v>-192401.85</v>
      </c>
      <c r="U86" s="21">
        <v>-8.4566420614739218E-3</v>
      </c>
      <c r="V86" s="18">
        <v>-0.22251065704776068</v>
      </c>
      <c r="W86" s="130"/>
      <c r="X86" s="16">
        <v>-117015.16</v>
      </c>
      <c r="Y86" s="21">
        <v>-4.6596892413830011E-3</v>
      </c>
      <c r="Z86" s="18">
        <v>-0.13208306383977805</v>
      </c>
      <c r="AB86" s="16">
        <v>-173830.94</v>
      </c>
      <c r="AC86" s="21">
        <v>-7.3631438162506755E-3</v>
      </c>
      <c r="AD86" s="18">
        <v>-0.20896482250167395</v>
      </c>
      <c r="AF86" s="95">
        <v>-246321.31000000003</v>
      </c>
      <c r="AG86" s="100">
        <v>-1.0354239029901407E-2</v>
      </c>
      <c r="AH86" s="97">
        <v>-0.29197616267698712</v>
      </c>
      <c r="AJ86" s="95">
        <v>-189244.21</v>
      </c>
      <c r="AK86" s="100">
        <v>-8.7495488123019872E-3</v>
      </c>
      <c r="AL86" s="97">
        <v>-0.24290229958824072</v>
      </c>
      <c r="AN86" s="95"/>
      <c r="AO86" s="100"/>
      <c r="AP86" s="97"/>
      <c r="AR86" s="95"/>
      <c r="AS86" s="100"/>
      <c r="AT86" s="97"/>
      <c r="AV86" s="95"/>
      <c r="AW86" s="100"/>
      <c r="AX86" s="97"/>
      <c r="AZ86" s="95"/>
      <c r="BA86" s="100"/>
      <c r="BB86" s="97"/>
      <c r="BD86" s="95">
        <v>-191103.27583333335</v>
      </c>
      <c r="BE86" s="100">
        <v>-7.4437872752002444E-4</v>
      </c>
      <c r="BF86" s="97">
        <v>-2.1455341963359995E-2</v>
      </c>
    </row>
    <row r="87" spans="1:58" ht="15.75" x14ac:dyDescent="0.25">
      <c r="A87" s="182"/>
      <c r="B87" s="15" t="s">
        <v>18</v>
      </c>
      <c r="C87" s="130"/>
      <c r="D87" s="16">
        <v>-553789.31999999995</v>
      </c>
      <c r="E87" s="17">
        <v>-2.8489353017877025E-2</v>
      </c>
      <c r="F87" s="18">
        <v>-0.71756024810596974</v>
      </c>
      <c r="G87" s="130"/>
      <c r="H87" s="35">
        <v>-558861.31999999995</v>
      </c>
      <c r="I87" s="21">
        <v>-3.1086681830793529E-2</v>
      </c>
      <c r="J87" s="18">
        <v>-0.77230045105799627</v>
      </c>
      <c r="K87" s="19">
        <v>0.77230045105799627</v>
      </c>
      <c r="L87" s="16">
        <v>-685369</v>
      </c>
      <c r="M87" s="21">
        <v>-3.0388116901908849E-2</v>
      </c>
      <c r="N87" s="18">
        <v>-0.75691068403347606</v>
      </c>
      <c r="O87" s="130"/>
      <c r="P87" s="16">
        <v>-562809</v>
      </c>
      <c r="Q87" s="21">
        <v>-2.538163734648876E-2</v>
      </c>
      <c r="R87" s="18">
        <v>-0.64468650729831189</v>
      </c>
      <c r="S87" s="130"/>
      <c r="T87" s="16">
        <v>-760337.39</v>
      </c>
      <c r="U87" s="21">
        <v>-3.3419123325400986E-2</v>
      </c>
      <c r="V87" s="18">
        <v>-0.87932196196075807</v>
      </c>
      <c r="W87" s="130"/>
      <c r="X87" s="16">
        <v>-588918</v>
      </c>
      <c r="Y87" s="21">
        <v>-2.3451447390720949E-2</v>
      </c>
      <c r="Z87" s="18">
        <v>-0.66475227475136045</v>
      </c>
      <c r="AB87" s="16">
        <v>-598957</v>
      </c>
      <c r="AC87" s="21">
        <v>-2.5370664915866276E-2</v>
      </c>
      <c r="AD87" s="18">
        <v>-0.72001533899048764</v>
      </c>
      <c r="AF87" s="95">
        <v>-745772.39</v>
      </c>
      <c r="AG87" s="100">
        <v>-3.1348914099071867E-2</v>
      </c>
      <c r="AH87" s="97">
        <v>-0.88399887392059362</v>
      </c>
      <c r="AJ87" s="95">
        <v>-614900</v>
      </c>
      <c r="AK87" s="100">
        <v>-2.8429390598975219E-2</v>
      </c>
      <c r="AL87" s="97">
        <v>-0.78924805158799427</v>
      </c>
      <c r="AN87" s="95"/>
      <c r="AO87" s="100"/>
      <c r="AP87" s="97"/>
      <c r="AR87" s="95"/>
      <c r="AS87" s="100"/>
      <c r="AT87" s="97"/>
      <c r="AV87" s="95"/>
      <c r="AW87" s="100"/>
      <c r="AX87" s="97"/>
      <c r="AZ87" s="95"/>
      <c r="BA87" s="100"/>
      <c r="BB87" s="97"/>
      <c r="BD87" s="95">
        <v>-643613.92749999987</v>
      </c>
      <c r="BE87" s="100">
        <v>-2.5069822287318902E-3</v>
      </c>
      <c r="BF87" s="97">
        <v>-7.2259132381052804E-2</v>
      </c>
    </row>
    <row r="88" spans="1:58" ht="15.75" x14ac:dyDescent="0.25">
      <c r="A88" s="182"/>
      <c r="B88" s="15" t="s">
        <v>40</v>
      </c>
      <c r="C88" s="130"/>
      <c r="D88" s="16">
        <v>-3262.04</v>
      </c>
      <c r="E88" s="17">
        <v>-1.6781365360826311E-4</v>
      </c>
      <c r="F88" s="18">
        <v>-4.2267160943652684E-3</v>
      </c>
      <c r="G88" s="130"/>
      <c r="H88" s="35">
        <v>-172.8</v>
      </c>
      <c r="I88" s="21">
        <v>-9.6120064640743477E-6</v>
      </c>
      <c r="J88" s="18">
        <v>-2.3879540982156677E-4</v>
      </c>
      <c r="K88" s="19">
        <v>2.3879540982156677E-4</v>
      </c>
      <c r="L88" s="16">
        <v>-137.91999999999999</v>
      </c>
      <c r="M88" s="21">
        <v>-6.1151424752378182E-6</v>
      </c>
      <c r="N88" s="18">
        <v>-1.5231666670347945E-4</v>
      </c>
      <c r="O88" s="130"/>
      <c r="P88" s="16">
        <v>-206.88</v>
      </c>
      <c r="Q88" s="21">
        <v>-9.3299025677300729E-6</v>
      </c>
      <c r="R88" s="18">
        <v>-2.3697692224160374E-4</v>
      </c>
      <c r="S88" s="130"/>
      <c r="T88" s="16">
        <v>-8001.9900000000007</v>
      </c>
      <c r="U88" s="21">
        <v>-3.5171161404889668E-4</v>
      </c>
      <c r="V88" s="18">
        <v>-9.2542148248034549E-3</v>
      </c>
      <c r="W88" s="130"/>
      <c r="X88" s="16">
        <v>-5064.87</v>
      </c>
      <c r="Y88" s="21">
        <v>-2.0168942424215393E-4</v>
      </c>
      <c r="Z88" s="18">
        <v>-5.7170673231586111E-3</v>
      </c>
      <c r="AB88" s="16">
        <v>-1898</v>
      </c>
      <c r="AC88" s="21">
        <v>-8.039562441095803E-5</v>
      </c>
      <c r="AD88" s="18">
        <v>-2.2816147292776369E-3</v>
      </c>
      <c r="AF88" s="95">
        <v>-420</v>
      </c>
      <c r="AG88" s="100">
        <v>-1.765490932375518E-5</v>
      </c>
      <c r="AH88" s="97">
        <v>-4.9784563229358664E-4</v>
      </c>
      <c r="AJ88" s="95">
        <v>-2863.6</v>
      </c>
      <c r="AK88" s="100">
        <v>-1.323961667250373E-4</v>
      </c>
      <c r="AL88" s="97">
        <v>-3.6755419101112056E-3</v>
      </c>
      <c r="AN88" s="95"/>
      <c r="AO88" s="100"/>
      <c r="AP88" s="97"/>
      <c r="AR88" s="95"/>
      <c r="AS88" s="100"/>
      <c r="AT88" s="97"/>
      <c r="AV88" s="95"/>
      <c r="AW88" s="100"/>
      <c r="AX88" s="97"/>
      <c r="AZ88" s="95"/>
      <c r="BA88" s="100"/>
      <c r="BB88" s="97"/>
      <c r="BD88" s="95">
        <v>-3149.8724999999999</v>
      </c>
      <c r="BE88" s="100">
        <v>-1.226927206336953E-5</v>
      </c>
      <c r="BF88" s="97">
        <v>-3.5363910604768229E-4</v>
      </c>
    </row>
    <row r="89" spans="1:58" ht="15.75" x14ac:dyDescent="0.25">
      <c r="A89" s="182"/>
      <c r="B89" s="15" t="s">
        <v>48</v>
      </c>
      <c r="C89" s="130"/>
      <c r="D89" s="16">
        <v>-58662.7</v>
      </c>
      <c r="E89" s="17">
        <v>-3.0178667390729288E-3</v>
      </c>
      <c r="F89" s="18">
        <v>-7.6010894479810617E-2</v>
      </c>
      <c r="G89" s="130"/>
      <c r="H89" s="35">
        <v>-79538.73</v>
      </c>
      <c r="I89" s="21">
        <v>-4.4243448316218991E-3</v>
      </c>
      <c r="J89" s="18">
        <v>-0.10991599321201936</v>
      </c>
      <c r="K89" s="19">
        <v>0.10991599321201936</v>
      </c>
      <c r="L89" s="16">
        <v>-68285.78</v>
      </c>
      <c r="M89" s="21">
        <v>-3.027677448758303E-3</v>
      </c>
      <c r="N89" s="18">
        <v>-7.5413735446977409E-2</v>
      </c>
      <c r="O89" s="130"/>
      <c r="P89" s="16">
        <v>-49772.639999999999</v>
      </c>
      <c r="Q89" s="21">
        <v>-2.2446533340037922E-3</v>
      </c>
      <c r="R89" s="18">
        <v>-5.7013568440832059E-2</v>
      </c>
      <c r="S89" s="130"/>
      <c r="T89" s="16">
        <v>-54848.329999999994</v>
      </c>
      <c r="U89" s="21">
        <v>-2.4107496600453788E-3</v>
      </c>
      <c r="V89" s="18">
        <v>-6.3431499989591592E-2</v>
      </c>
      <c r="W89" s="130"/>
      <c r="X89" s="16">
        <v>-61922.96</v>
      </c>
      <c r="Y89" s="21">
        <v>-2.4658493011212386E-3</v>
      </c>
      <c r="Z89" s="18">
        <v>-6.9896706365465994E-2</v>
      </c>
      <c r="AB89" s="16">
        <v>-48743.09</v>
      </c>
      <c r="AC89" s="21">
        <v>-2.0646634121546494E-3</v>
      </c>
      <c r="AD89" s="18">
        <v>-5.8594811430192566E-2</v>
      </c>
      <c r="AF89" s="95">
        <v>-69268.800000000003</v>
      </c>
      <c r="AG89" s="100">
        <v>-2.9117485308698403E-3</v>
      </c>
      <c r="AH89" s="97">
        <v>-8.2107546510042859E-2</v>
      </c>
      <c r="AJ89" s="95">
        <v>-106651.71</v>
      </c>
      <c r="AK89" s="100">
        <v>-4.9309531983064425E-3</v>
      </c>
      <c r="AL89" s="97">
        <v>-0.13689161541068109</v>
      </c>
      <c r="AN89" s="95"/>
      <c r="AO89" s="100"/>
      <c r="AP89" s="97"/>
      <c r="AR89" s="95"/>
      <c r="AS89" s="100"/>
      <c r="AT89" s="97"/>
      <c r="AV89" s="95"/>
      <c r="AW89" s="100"/>
      <c r="AX89" s="97"/>
      <c r="AZ89" s="95"/>
      <c r="BA89" s="100"/>
      <c r="BB89" s="97"/>
      <c r="BD89" s="95">
        <v>-73039.991666666669</v>
      </c>
      <c r="BE89" s="100">
        <v>-2.8450279472092178E-4</v>
      </c>
      <c r="BF89" s="97">
        <v>-8.2002675850308751E-3</v>
      </c>
    </row>
    <row r="90" spans="1:58" ht="15.75" x14ac:dyDescent="0.25">
      <c r="A90" s="183"/>
      <c r="B90" s="15" t="s">
        <v>49</v>
      </c>
      <c r="C90" s="130"/>
      <c r="D90" s="16"/>
      <c r="E90" s="17">
        <v>0</v>
      </c>
      <c r="F90" s="18">
        <v>0</v>
      </c>
      <c r="G90" s="130"/>
      <c r="H90" s="35">
        <v>-776</v>
      </c>
      <c r="I90" s="21">
        <v>-4.3165029028482022E-5</v>
      </c>
      <c r="J90" s="18">
        <v>-1.0723682755875916E-3</v>
      </c>
      <c r="K90" s="19">
        <v>1.0723682755875916E-3</v>
      </c>
      <c r="L90" s="16">
        <v>-1829</v>
      </c>
      <c r="M90" s="21">
        <v>-8.1094805591719628E-5</v>
      </c>
      <c r="N90" s="18">
        <v>-2.0199186731486656E-3</v>
      </c>
      <c r="O90" s="130"/>
      <c r="P90" s="16">
        <v>-2438.4</v>
      </c>
      <c r="Q90" s="21">
        <v>-1.0996729708600643E-4</v>
      </c>
      <c r="R90" s="18">
        <v>-2.7931386658639141E-3</v>
      </c>
      <c r="S90" s="130"/>
      <c r="T90" s="16"/>
      <c r="U90" s="21">
        <v>0</v>
      </c>
      <c r="V90" s="18">
        <v>0</v>
      </c>
      <c r="W90" s="130"/>
      <c r="X90" s="16">
        <v>-1331.79</v>
      </c>
      <c r="Y90" s="21">
        <v>-5.3033534584591152E-5</v>
      </c>
      <c r="Z90" s="18">
        <v>-1.5032830241071156E-3</v>
      </c>
      <c r="AB90" s="16">
        <v>-43641.860000000008</v>
      </c>
      <c r="AC90" s="21">
        <v>-1.8485851344339375E-3</v>
      </c>
      <c r="AD90" s="18">
        <v>-5.2462545094348022E-2</v>
      </c>
      <c r="AF90" s="95">
        <v>-4458.08</v>
      </c>
      <c r="AG90" s="100">
        <v>-1.8739761466201547E-4</v>
      </c>
      <c r="AH90" s="97">
        <v>-5.28437061051284E-3</v>
      </c>
      <c r="AJ90" s="95">
        <v>-4653.2700000000004</v>
      </c>
      <c r="AK90" s="100">
        <v>-2.1514007219465512E-4</v>
      </c>
      <c r="AL90" s="97">
        <v>-5.972652920821055E-3</v>
      </c>
      <c r="AN90" s="95"/>
      <c r="AO90" s="100"/>
      <c r="AP90" s="97"/>
      <c r="AR90" s="95"/>
      <c r="AS90" s="100"/>
      <c r="AT90" s="97"/>
      <c r="AV90" s="95"/>
      <c r="AW90" s="100"/>
      <c r="AX90" s="97"/>
      <c r="AZ90" s="95"/>
      <c r="BA90" s="100"/>
      <c r="BB90" s="97"/>
      <c r="BD90" s="95">
        <v>-5361.7000000000007</v>
      </c>
      <c r="BE90" s="100">
        <v>-2.0884704387929487E-5</v>
      </c>
      <c r="BF90" s="97">
        <v>-6.0196303021657497E-4</v>
      </c>
    </row>
    <row r="91" spans="1:58" ht="15.75" x14ac:dyDescent="0.25">
      <c r="A91" s="23" t="s">
        <v>66</v>
      </c>
      <c r="B91" s="23"/>
      <c r="C91" s="129"/>
      <c r="D91" s="13">
        <v>-954937.44</v>
      </c>
      <c r="E91" s="24">
        <v>-4.9126172816311736E-2</v>
      </c>
      <c r="F91" s="14">
        <v>-1.2373390414464469</v>
      </c>
      <c r="G91" s="129"/>
      <c r="H91" s="13">
        <v>-959711.45</v>
      </c>
      <c r="I91" s="24">
        <v>-5.3383985306980117E-2</v>
      </c>
      <c r="J91" s="14">
        <v>-1.3262424132708337</v>
      </c>
      <c r="K91" s="19"/>
      <c r="L91" s="13">
        <v>-1125150.73</v>
      </c>
      <c r="M91" s="24">
        <v>-4.9887304379842214E-2</v>
      </c>
      <c r="N91" s="14">
        <v>-1.2425986712049495</v>
      </c>
      <c r="O91" s="129"/>
      <c r="P91" s="13">
        <v>-913681.75</v>
      </c>
      <c r="Q91" s="24">
        <v>-4.1205344670403647E-2</v>
      </c>
      <c r="R91" s="14">
        <v>-1.0466042586200814</v>
      </c>
      <c r="S91" s="129"/>
      <c r="T91" s="13">
        <v>-1219350.9800000002</v>
      </c>
      <c r="U91" s="24">
        <v>-5.3594156112155102E-2</v>
      </c>
      <c r="V91" s="14">
        <v>-1.410166210624435</v>
      </c>
      <c r="W91" s="129"/>
      <c r="X91" s="13">
        <v>-960723.28</v>
      </c>
      <c r="Y91" s="24">
        <v>-3.8257196176650861E-2</v>
      </c>
      <c r="Z91" s="14">
        <v>-1.1110660748526056</v>
      </c>
      <c r="AB91" s="13">
        <v>-1126632.9400000002</v>
      </c>
      <c r="AC91" s="24">
        <v>-4.7722001418995484E-2</v>
      </c>
      <c r="AD91" s="14">
        <v>-1.3543426292904999</v>
      </c>
      <c r="AF91" s="13">
        <v>-1250053.4800000002</v>
      </c>
      <c r="AG91" s="24">
        <v>-5.2546621045820509E-2</v>
      </c>
      <c r="AH91" s="14">
        <v>-1.4817468217890442</v>
      </c>
      <c r="AJ91" s="13">
        <v>-1085697.79</v>
      </c>
      <c r="AK91" s="24">
        <v>-5.0196335248583794E-2</v>
      </c>
      <c r="AL91" s="14">
        <v>-1.3935353152884882</v>
      </c>
      <c r="AN91" s="13"/>
      <c r="AO91" s="24"/>
      <c r="AP91" s="14"/>
      <c r="AR91" s="13"/>
      <c r="AS91" s="24"/>
      <c r="AT91" s="14"/>
      <c r="AV91" s="13"/>
      <c r="AW91" s="24"/>
      <c r="AX91" s="14"/>
      <c r="AZ91" s="13"/>
      <c r="BA91" s="24"/>
      <c r="BB91" s="14"/>
      <c r="BD91" s="13">
        <v>-1140652.5532641665</v>
      </c>
      <c r="BE91" s="24">
        <v>-4.4430295212822624E-3</v>
      </c>
      <c r="BF91" s="14">
        <v>-0.12806211973574999</v>
      </c>
    </row>
    <row r="92" spans="1:58" ht="15.75" x14ac:dyDescent="0.25">
      <c r="A92" s="23" t="s">
        <v>105</v>
      </c>
      <c r="B92" s="23"/>
      <c r="C92" s="129"/>
      <c r="D92" s="31">
        <v>-3155865.2560000001</v>
      </c>
      <c r="E92" s="36">
        <v>-0.16235155881127658</v>
      </c>
      <c r="F92" s="27">
        <v>-4.0891425209940309</v>
      </c>
      <c r="G92" s="129"/>
      <c r="H92" s="31">
        <v>-3304955.0700000003</v>
      </c>
      <c r="I92" s="36">
        <v>-0.18383824939997273</v>
      </c>
      <c r="J92" s="27">
        <v>-4.5671765068432579</v>
      </c>
      <c r="K92" s="19"/>
      <c r="L92" s="31">
        <v>-3517126.43</v>
      </c>
      <c r="M92" s="36">
        <v>-0.15594351234682827</v>
      </c>
      <c r="N92" s="27">
        <v>-3.8842588035985255</v>
      </c>
      <c r="O92" s="129"/>
      <c r="P92" s="31">
        <v>-2903849.34</v>
      </c>
      <c r="Q92" s="36">
        <v>-0.13095819515452087</v>
      </c>
      <c r="R92" s="27">
        <v>-3.326301620487782</v>
      </c>
      <c r="S92" s="129"/>
      <c r="T92" s="31">
        <v>-3779331.94</v>
      </c>
      <c r="U92" s="36">
        <v>-0.16611304646018651</v>
      </c>
      <c r="V92" s="27">
        <v>-4.3707564827000782</v>
      </c>
      <c r="W92" s="129"/>
      <c r="X92" s="31">
        <v>-3508369.29</v>
      </c>
      <c r="Y92" s="37">
        <v>-0.13970762963885636</v>
      </c>
      <c r="Z92" s="27">
        <v>-4.0573911107615945</v>
      </c>
      <c r="AB92" s="31">
        <v>-4017306.4830550002</v>
      </c>
      <c r="AC92" s="37">
        <v>-0.17016536520305403</v>
      </c>
      <c r="AD92" s="27">
        <v>-4.8292653549846314</v>
      </c>
      <c r="AF92" s="31">
        <v>-3722831.1803550003</v>
      </c>
      <c r="AG92" s="37">
        <v>-0.15649106408765714</v>
      </c>
      <c r="AH92" s="27">
        <v>-4.4128458164431308</v>
      </c>
      <c r="AJ92" s="31">
        <v>-4385495.381848</v>
      </c>
      <c r="AK92" s="37">
        <v>-0.2027597352098858</v>
      </c>
      <c r="AL92" s="27">
        <v>-5.6289537898384792</v>
      </c>
      <c r="AN92" s="31"/>
      <c r="AO92" s="37"/>
      <c r="AP92" s="27"/>
      <c r="AR92" s="31"/>
      <c r="AS92" s="37"/>
      <c r="AT92" s="27"/>
      <c r="AV92" s="31"/>
      <c r="AW92" s="37"/>
      <c r="AX92" s="27"/>
      <c r="AZ92" s="31"/>
      <c r="BA92" s="37"/>
      <c r="BB92" s="27"/>
      <c r="BD92" s="31">
        <v>-3711302.1981155002</v>
      </c>
      <c r="BE92" s="37">
        <v>-1.4456133185727497E-2</v>
      </c>
      <c r="BF92" s="27">
        <v>-0.41667133879684459</v>
      </c>
    </row>
    <row r="93" spans="1:58" ht="15.75" x14ac:dyDescent="0.25">
      <c r="A93" s="184" t="s">
        <v>106</v>
      </c>
      <c r="B93" s="184"/>
      <c r="C93" s="132"/>
      <c r="D93" s="8">
        <v>4681378.5149029996</v>
      </c>
      <c r="E93" s="38">
        <v>0.24083065581939436</v>
      </c>
      <c r="F93" s="10">
        <v>6.0657925447745233</v>
      </c>
      <c r="G93" s="132"/>
      <c r="H93" s="8">
        <v>3917451.543012999</v>
      </c>
      <c r="I93" s="38">
        <v>0.21790838862348941</v>
      </c>
      <c r="J93" s="10">
        <v>5.4135963348953595</v>
      </c>
      <c r="K93" s="19"/>
      <c r="L93" s="8">
        <v>5346250.9841860011</v>
      </c>
      <c r="M93" s="38">
        <v>0.23704384046315116</v>
      </c>
      <c r="N93" s="10">
        <v>5.9043150324203033</v>
      </c>
      <c r="O93" s="132"/>
      <c r="P93" s="8">
        <v>6219051.7422570009</v>
      </c>
      <c r="Q93" s="38">
        <v>0.28046764703659016</v>
      </c>
      <c r="R93" s="10">
        <v>7.1237999861820747</v>
      </c>
      <c r="S93" s="132"/>
      <c r="T93" s="8">
        <v>5632087.3927560002</v>
      </c>
      <c r="U93" s="38">
        <v>0.24754724104512191</v>
      </c>
      <c r="V93" s="10">
        <v>6.5134481103614492</v>
      </c>
      <c r="W93" s="132"/>
      <c r="X93" s="8">
        <v>8188834.6682199994</v>
      </c>
      <c r="Y93" s="39">
        <v>0.32608958363146168</v>
      </c>
      <c r="Z93" s="10">
        <v>9.4702986612712579</v>
      </c>
      <c r="AB93" s="8">
        <v>6450718.1893660007</v>
      </c>
      <c r="AC93" s="39">
        <v>0.27323999827882206</v>
      </c>
      <c r="AD93" s="10">
        <v>7.7545066571531276</v>
      </c>
      <c r="AF93" s="8">
        <v>6482924.8388949987</v>
      </c>
      <c r="AG93" s="39">
        <v>0.27251297662716989</v>
      </c>
      <c r="AH93" s="10">
        <v>7.6845138465035214</v>
      </c>
      <c r="AJ93" s="8">
        <v>4717354.4034279995</v>
      </c>
      <c r="AK93" s="39">
        <v>0.21810296134143817</v>
      </c>
      <c r="AL93" s="10">
        <v>6.0549077436259449</v>
      </c>
      <c r="AN93" s="8"/>
      <c r="AO93" s="39"/>
      <c r="AP93" s="10"/>
      <c r="AR93" s="8"/>
      <c r="AS93" s="39"/>
      <c r="AT93" s="10"/>
      <c r="AV93" s="8"/>
      <c r="AW93" s="39"/>
      <c r="AX93" s="10"/>
      <c r="AZ93" s="8"/>
      <c r="BA93" s="39"/>
      <c r="BB93" s="10"/>
      <c r="BD93" s="8">
        <v>5111195.0999913327</v>
      </c>
      <c r="BE93" s="39">
        <v>1.9908946552838216E-2</v>
      </c>
      <c r="BF93" s="10">
        <v>0.57383861283154447</v>
      </c>
    </row>
    <row r="94" spans="1:58" ht="15.75" x14ac:dyDescent="0.25">
      <c r="A94" s="185" t="s">
        <v>107</v>
      </c>
      <c r="B94" s="186"/>
      <c r="C94" s="133"/>
      <c r="D94" s="16">
        <v>-3721724.9100000174</v>
      </c>
      <c r="E94" s="17">
        <v>-0.19146186278279456</v>
      </c>
      <c r="F94" s="18">
        <v>-4.8223426370912685</v>
      </c>
      <c r="G94" s="133"/>
      <c r="H94" s="35">
        <v>-3878038.2199999965</v>
      </c>
      <c r="I94" s="21">
        <v>-0.21571602105652396</v>
      </c>
      <c r="J94" s="18">
        <v>-5.359130359077537</v>
      </c>
      <c r="K94" s="19">
        <v>5.359130359077537</v>
      </c>
      <c r="L94" s="16">
        <v>-4062062.3399999975</v>
      </c>
      <c r="M94" s="21">
        <v>-0.18010506055972964</v>
      </c>
      <c r="N94" s="18">
        <v>-4.486077404078709</v>
      </c>
      <c r="O94" s="133"/>
      <c r="P94" s="16">
        <v>-4048115.1100000166</v>
      </c>
      <c r="Q94" s="21">
        <v>-0.18256244953236689</v>
      </c>
      <c r="R94" s="18">
        <v>-4.6370352844525096</v>
      </c>
      <c r="S94" s="133"/>
      <c r="T94" s="16">
        <v>-4048623.9599999976</v>
      </c>
      <c r="U94" s="21">
        <v>-0.17794924358173841</v>
      </c>
      <c r="V94" s="18">
        <v>-4.6821897891257604</v>
      </c>
      <c r="W94" s="133"/>
      <c r="X94" s="16">
        <v>-4049095.819999998</v>
      </c>
      <c r="Y94" s="21">
        <v>-0.16124003274261961</v>
      </c>
      <c r="Z94" s="18">
        <v>-4.6827354901085458</v>
      </c>
      <c r="AB94" s="16">
        <v>-4017934.6599999955</v>
      </c>
      <c r="AC94" s="21">
        <v>-0.17019197356856164</v>
      </c>
      <c r="AD94" s="18">
        <v>-4.8300204960648703</v>
      </c>
      <c r="AF94" s="95">
        <v>-4018012.9599999972</v>
      </c>
      <c r="AG94" s="100">
        <v>-0.16889917731065024</v>
      </c>
      <c r="AH94" s="97">
        <v>-4.7627385777024394</v>
      </c>
      <c r="AJ94" s="114">
        <v>-3985829.0799999968</v>
      </c>
      <c r="AK94" s="100">
        <v>-0.18428149581407377</v>
      </c>
      <c r="AL94" s="97">
        <v>-5.1159665561111813</v>
      </c>
      <c r="AN94" s="95"/>
      <c r="AO94" s="100"/>
      <c r="AP94" s="97"/>
      <c r="AR94" s="95"/>
      <c r="AS94" s="100"/>
      <c r="AT94" s="97"/>
      <c r="AV94" s="95"/>
      <c r="AW94" s="100"/>
      <c r="AX94" s="97"/>
      <c r="AZ94" s="95"/>
      <c r="BA94" s="100"/>
      <c r="BB94" s="97"/>
      <c r="BD94" s="95">
        <v>-3978646.3975000009</v>
      </c>
      <c r="BE94" s="100">
        <v>-1.5497482864742172E-2</v>
      </c>
      <c r="BF94" s="97">
        <v>-0.44668631993572183</v>
      </c>
    </row>
    <row r="95" spans="1:58" ht="15.75" x14ac:dyDescent="0.25">
      <c r="A95" s="175" t="s">
        <v>108</v>
      </c>
      <c r="B95" s="176"/>
      <c r="C95" s="133"/>
      <c r="D95" s="16">
        <v>-1209055.7399999998</v>
      </c>
      <c r="E95" s="17">
        <v>-6.219913340898401E-2</v>
      </c>
      <c r="F95" s="18">
        <v>-1.566607201396276</v>
      </c>
      <c r="G95" s="133"/>
      <c r="H95" s="35">
        <v>-1293453.4199999997</v>
      </c>
      <c r="I95" s="21">
        <v>-7.1948394872795529E-2</v>
      </c>
      <c r="J95" s="18">
        <v>-1.7874464092245779</v>
      </c>
      <c r="K95" s="19">
        <v>1.7874464092245779</v>
      </c>
      <c r="L95" s="16">
        <v>-1183825.0200000003</v>
      </c>
      <c r="M95" s="21">
        <v>-5.2488824413074696E-2</v>
      </c>
      <c r="N95" s="18">
        <v>-1.3073976291080334</v>
      </c>
      <c r="O95" s="133"/>
      <c r="P95" s="16">
        <v>-1247601.2899999998</v>
      </c>
      <c r="Q95" s="21">
        <v>-5.6264493808364027E-2</v>
      </c>
      <c r="R95" s="18">
        <v>-1.4291024453250893</v>
      </c>
      <c r="S95" s="133"/>
      <c r="T95" s="16">
        <v>-1224531.45</v>
      </c>
      <c r="U95" s="21">
        <v>-5.3821853405607328E-2</v>
      </c>
      <c r="V95" s="18">
        <v>-1.4161573681081918</v>
      </c>
      <c r="W95" s="133"/>
      <c r="X95" s="16">
        <v>-1133645.02</v>
      </c>
      <c r="Y95" s="21">
        <v>-4.5143154983007479E-2</v>
      </c>
      <c r="Z95" s="18">
        <v>-1.311048195529938</v>
      </c>
      <c r="AB95" s="16">
        <v>-1158513.33</v>
      </c>
      <c r="AC95" s="21">
        <v>-4.9072393337074964E-2</v>
      </c>
      <c r="AD95" s="18">
        <v>-1.3926665320297598</v>
      </c>
      <c r="AF95" s="95">
        <v>-1073834.9300000002</v>
      </c>
      <c r="AG95" s="100">
        <v>-4.5139186471026181E-2</v>
      </c>
      <c r="AH95" s="97">
        <v>-1.2728667373923559</v>
      </c>
      <c r="AJ95" s="95">
        <v>-1095837.5</v>
      </c>
      <c r="AK95" s="100">
        <v>-5.0665136315668415E-2</v>
      </c>
      <c r="AL95" s="97">
        <v>-1.4065500272110241</v>
      </c>
      <c r="AN95" s="95"/>
      <c r="AO95" s="100"/>
      <c r="AP95" s="97"/>
      <c r="AR95" s="95"/>
      <c r="AS95" s="100"/>
      <c r="AT95" s="97"/>
      <c r="AV95" s="95"/>
      <c r="AW95" s="100"/>
      <c r="AX95" s="97"/>
      <c r="AZ95" s="95"/>
      <c r="BA95" s="100"/>
      <c r="BB95" s="97"/>
      <c r="BD95" s="95">
        <v>-1148147.6466666667</v>
      </c>
      <c r="BE95" s="100">
        <v>-4.4722241442695871E-3</v>
      </c>
      <c r="BF95" s="97">
        <v>-0.1289036008212873</v>
      </c>
    </row>
    <row r="96" spans="1:58" ht="15.75" x14ac:dyDescent="0.25">
      <c r="A96" s="184" t="s">
        <v>109</v>
      </c>
      <c r="B96" s="184"/>
      <c r="C96" s="132"/>
      <c r="D96" s="31">
        <v>-4930780.6500000171</v>
      </c>
      <c r="E96" s="36">
        <v>-0.25366099619177856</v>
      </c>
      <c r="F96" s="27">
        <v>-6.3889498384875454</v>
      </c>
      <c r="G96" s="132"/>
      <c r="H96" s="31">
        <v>-5171491.6399999959</v>
      </c>
      <c r="I96" s="36">
        <v>-0.28766441592931946</v>
      </c>
      <c r="J96" s="27">
        <v>-7.1465767683021149</v>
      </c>
      <c r="K96" s="19"/>
      <c r="L96" s="31">
        <v>-5245887.3599999975</v>
      </c>
      <c r="M96" s="36">
        <v>-0.23259388497280431</v>
      </c>
      <c r="N96" s="27">
        <v>-5.7934750331867422</v>
      </c>
      <c r="O96" s="132"/>
      <c r="P96" s="31">
        <v>-5295716.4000000162</v>
      </c>
      <c r="Q96" s="36">
        <v>-0.2388269433407309</v>
      </c>
      <c r="R96" s="27">
        <v>-6.0661377297775978</v>
      </c>
      <c r="S96" s="132"/>
      <c r="T96" s="31">
        <v>-5273155.4099999974</v>
      </c>
      <c r="U96" s="36">
        <v>-0.23177109698734571</v>
      </c>
      <c r="V96" s="27">
        <v>-6.0983471572339525</v>
      </c>
      <c r="W96" s="132"/>
      <c r="X96" s="31">
        <v>-5182740.839999998</v>
      </c>
      <c r="Y96" s="36">
        <v>-0.20638318772562708</v>
      </c>
      <c r="Z96" s="27">
        <v>-5.9937836856384834</v>
      </c>
      <c r="AB96" s="31">
        <v>-5176447.9899999956</v>
      </c>
      <c r="AC96" s="36">
        <v>-0.21926436690563661</v>
      </c>
      <c r="AD96" s="27">
        <v>-6.2226870280946303</v>
      </c>
      <c r="AF96" s="31">
        <v>-5091847.8899999969</v>
      </c>
      <c r="AG96" s="36">
        <v>-0.2140383637816764</v>
      </c>
      <c r="AH96" s="27">
        <v>-6.0356053150947941</v>
      </c>
      <c r="AJ96" s="31">
        <v>-5081666.5799999963</v>
      </c>
      <c r="AK96" s="36">
        <v>-0.23494663212974215</v>
      </c>
      <c r="AL96" s="27">
        <v>-6.5225165833222043</v>
      </c>
      <c r="AN96" s="31"/>
      <c r="AO96" s="36"/>
      <c r="AP96" s="27"/>
      <c r="AR96" s="31"/>
      <c r="AS96" s="36"/>
      <c r="AT96" s="27"/>
      <c r="AV96" s="31"/>
      <c r="AW96" s="36"/>
      <c r="AX96" s="27"/>
      <c r="AZ96" s="31"/>
      <c r="BA96" s="36"/>
      <c r="BB96" s="27"/>
      <c r="BD96" s="31">
        <v>-5126794.0441666674</v>
      </c>
      <c r="BE96" s="36">
        <v>-1.9969707009011756E-2</v>
      </c>
      <c r="BF96" s="27">
        <v>-0.5755899207570091</v>
      </c>
    </row>
    <row r="97" spans="1:58" ht="15.75" x14ac:dyDescent="0.25">
      <c r="A97" s="180" t="s">
        <v>110</v>
      </c>
      <c r="B97" s="180"/>
      <c r="C97" s="134"/>
      <c r="D97" s="13">
        <v>-249402.13509701751</v>
      </c>
      <c r="E97" s="40">
        <v>-1.2830340372384196E-2</v>
      </c>
      <c r="F97" s="14">
        <v>-0.32315729371302154</v>
      </c>
      <c r="G97" s="134"/>
      <c r="H97" s="13">
        <v>-1254040.0969869969</v>
      </c>
      <c r="I97" s="24">
        <v>-6.9756027305830068E-2</v>
      </c>
      <c r="J97" s="14">
        <v>-1.7329804334067551</v>
      </c>
      <c r="K97" s="19"/>
      <c r="L97" s="13">
        <v>100363.62418600358</v>
      </c>
      <c r="M97" s="24">
        <v>4.4499554903468398E-3</v>
      </c>
      <c r="N97" s="14">
        <v>0.11083999923356133</v>
      </c>
      <c r="O97" s="134"/>
      <c r="P97" s="13">
        <v>923335.34225698467</v>
      </c>
      <c r="Q97" s="24">
        <v>4.1640703695859274E-2</v>
      </c>
      <c r="R97" s="14">
        <v>1.0576622564044762</v>
      </c>
      <c r="S97" s="134"/>
      <c r="T97" s="13">
        <v>358931.98275600281</v>
      </c>
      <c r="U97" s="24">
        <v>1.5776144057776189E-2</v>
      </c>
      <c r="V97" s="14">
        <v>0.41510095312749695</v>
      </c>
      <c r="W97" s="134"/>
      <c r="X97" s="13">
        <v>3006093.8282200014</v>
      </c>
      <c r="Y97" s="24">
        <v>0.11970639590583459</v>
      </c>
      <c r="Z97" s="14">
        <v>3.4765149756327749</v>
      </c>
      <c r="AB97" s="13">
        <v>1274270.1993660051</v>
      </c>
      <c r="AC97" s="24">
        <v>5.3975631373185437E-2</v>
      </c>
      <c r="AD97" s="14">
        <v>1.5318196290584976</v>
      </c>
      <c r="AF97" s="13">
        <v>1391076.9488950018</v>
      </c>
      <c r="AG97" s="24">
        <v>5.8474612845493518E-2</v>
      </c>
      <c r="AH97" s="14">
        <v>1.6489085314087275</v>
      </c>
      <c r="AJ97" s="13">
        <v>-364312.17657199688</v>
      </c>
      <c r="AK97" s="24">
        <v>-1.6843670788303997E-2</v>
      </c>
      <c r="AL97" s="14">
        <v>-0.46760883969625938</v>
      </c>
      <c r="AN97" s="13"/>
      <c r="AO97" s="24"/>
      <c r="AP97" s="14"/>
      <c r="AR97" s="13"/>
      <c r="AS97" s="24"/>
      <c r="AT97" s="14"/>
      <c r="AV97" s="13"/>
      <c r="AW97" s="24"/>
      <c r="AX97" s="14"/>
      <c r="AZ97" s="13"/>
      <c r="BA97" s="24"/>
      <c r="BB97" s="14"/>
      <c r="BD97" s="13">
        <v>-15598.944175334647</v>
      </c>
      <c r="BE97" s="24">
        <v>-6.0760456173541704E-5</v>
      </c>
      <c r="BF97" s="14">
        <v>-1.7513079254646165E-3</v>
      </c>
    </row>
    <row r="98" spans="1:58" ht="15.75" x14ac:dyDescent="0.25">
      <c r="A98" s="41"/>
      <c r="B98" s="41"/>
      <c r="C98" s="135"/>
      <c r="D98" s="42"/>
      <c r="E98" s="43"/>
      <c r="F98" s="44"/>
      <c r="G98" s="135"/>
      <c r="H98" s="42"/>
      <c r="I98" s="45"/>
      <c r="J98" s="44"/>
      <c r="K98" s="19"/>
      <c r="L98" s="42"/>
      <c r="M98" s="45">
        <v>0</v>
      </c>
      <c r="N98" s="44">
        <v>0</v>
      </c>
      <c r="O98" s="135"/>
      <c r="P98" s="42"/>
      <c r="Q98" s="45">
        <v>0</v>
      </c>
      <c r="R98" s="44">
        <v>0</v>
      </c>
      <c r="S98" s="135"/>
      <c r="T98" s="42"/>
      <c r="U98" s="45"/>
      <c r="V98" s="44"/>
      <c r="W98" s="135"/>
      <c r="X98" s="42"/>
      <c r="Y98" s="45"/>
      <c r="Z98" s="44"/>
      <c r="AB98" s="42"/>
      <c r="AC98" s="45">
        <v>0</v>
      </c>
      <c r="AD98" s="44"/>
      <c r="AF98" s="42"/>
      <c r="AG98" s="45">
        <v>0</v>
      </c>
      <c r="AH98" s="44"/>
      <c r="AJ98" s="42"/>
      <c r="AK98" s="45">
        <v>0</v>
      </c>
      <c r="AL98" s="44"/>
      <c r="AN98" s="42"/>
      <c r="AO98" s="45"/>
      <c r="AP98" s="44"/>
      <c r="AR98" s="42"/>
      <c r="AS98" s="45"/>
      <c r="AT98" s="44"/>
      <c r="AV98" s="42"/>
      <c r="AW98" s="45"/>
      <c r="AX98" s="44"/>
      <c r="AZ98" s="42"/>
      <c r="BA98" s="45"/>
      <c r="BB98" s="44"/>
      <c r="BD98" s="42"/>
      <c r="BE98" s="45">
        <v>0</v>
      </c>
      <c r="BF98" s="44">
        <v>0</v>
      </c>
    </row>
    <row r="99" spans="1:58" ht="15.75" x14ac:dyDescent="0.25">
      <c r="A99" s="175" t="s">
        <v>67</v>
      </c>
      <c r="B99" s="176"/>
      <c r="C99" s="133"/>
      <c r="D99" s="16">
        <v>354901.94</v>
      </c>
      <c r="E99" s="17">
        <v>1.8257713340137025E-2</v>
      </c>
      <c r="F99" s="18">
        <v>0.45985632969536144</v>
      </c>
      <c r="G99" s="133"/>
      <c r="H99" s="16">
        <v>265470.42</v>
      </c>
      <c r="I99" s="21">
        <v>1.4766802043174373E-2</v>
      </c>
      <c r="J99" s="18">
        <v>0.36685832025117737</v>
      </c>
      <c r="K99" s="19">
        <v>-0.36685832025117737</v>
      </c>
      <c r="L99" s="16">
        <v>283295.42</v>
      </c>
      <c r="M99" s="21">
        <v>1.256084582281277E-2</v>
      </c>
      <c r="N99" s="18">
        <v>0.31286698134253355</v>
      </c>
      <c r="O99" s="133"/>
      <c r="P99" s="16">
        <v>354723.04</v>
      </c>
      <c r="Q99" s="21">
        <v>1.5997348229548614E-2</v>
      </c>
      <c r="R99" s="18">
        <v>0.406328181880246</v>
      </c>
      <c r="S99" s="133"/>
      <c r="T99" s="16">
        <v>1787184.42</v>
      </c>
      <c r="U99" s="21">
        <v>7.8552149772899149E-2</v>
      </c>
      <c r="V99" s="18">
        <v>2.0668594379925196</v>
      </c>
      <c r="W99" s="133"/>
      <c r="X99" s="16">
        <v>2878361</v>
      </c>
      <c r="Y99" s="21">
        <v>0.11461991578284743</v>
      </c>
      <c r="Z99" s="18">
        <v>3.3287933423231091</v>
      </c>
      <c r="AB99" s="16">
        <v>101271</v>
      </c>
      <c r="AC99" s="21">
        <v>4.2896445098641366E-3</v>
      </c>
      <c r="AD99" s="18">
        <v>0.12173941267053508</v>
      </c>
      <c r="AF99" s="95">
        <v>327057</v>
      </c>
      <c r="AG99" s="100">
        <v>1.3748003996903329E-2</v>
      </c>
      <c r="AH99" s="18">
        <v>0.38767594990724663</v>
      </c>
      <c r="AJ99" s="95">
        <v>284796</v>
      </c>
      <c r="AK99" s="100">
        <v>1.3167306431982025E-2</v>
      </c>
      <c r="AL99" s="18">
        <v>0.36554673621735961</v>
      </c>
      <c r="AN99" s="95"/>
      <c r="AO99" s="100"/>
      <c r="AP99" s="18"/>
      <c r="AR99" s="95"/>
      <c r="AS99" s="100"/>
      <c r="AT99" s="18"/>
      <c r="AV99" s="95"/>
      <c r="AW99" s="100"/>
      <c r="AX99" s="18"/>
      <c r="AZ99" s="95"/>
      <c r="BA99" s="100"/>
      <c r="BB99" s="18"/>
      <c r="BD99" s="95">
        <v>744970.47416666674</v>
      </c>
      <c r="BE99" s="100">
        <v>2.9017826679423489E-3</v>
      </c>
      <c r="BF99" s="18">
        <v>8.3638525850242521E-2</v>
      </c>
    </row>
    <row r="100" spans="1:58" ht="15.75" x14ac:dyDescent="0.25">
      <c r="A100" s="175" t="s">
        <v>68</v>
      </c>
      <c r="B100" s="176"/>
      <c r="C100" s="133"/>
      <c r="D100" s="16">
        <v>7202.96</v>
      </c>
      <c r="E100" s="17">
        <v>3.7055187379497951E-4</v>
      </c>
      <c r="F100" s="18">
        <v>9.3330759153993376E-3</v>
      </c>
      <c r="G100" s="133"/>
      <c r="H100" s="16">
        <v>2833.4</v>
      </c>
      <c r="I100" s="21">
        <v>1.5760798099136722E-4</v>
      </c>
      <c r="J100" s="18">
        <v>3.9155261237756207E-3</v>
      </c>
      <c r="K100" s="19">
        <v>-3.9155261237756207E-3</v>
      </c>
      <c r="L100" s="16">
        <v>16014.69</v>
      </c>
      <c r="M100" s="21">
        <v>7.1006461025787662E-4</v>
      </c>
      <c r="N100" s="18">
        <v>1.7686370353027447E-2</v>
      </c>
      <c r="O100" s="133"/>
      <c r="P100" s="16">
        <v>1469.6899999999998</v>
      </c>
      <c r="Q100" s="21">
        <v>6.6280280862177153E-5</v>
      </c>
      <c r="R100" s="18">
        <v>1.6835006421561415E-3</v>
      </c>
      <c r="S100" s="133"/>
      <c r="T100" s="16">
        <v>5635.7199999999993</v>
      </c>
      <c r="U100" s="21">
        <v>2.4770690509831275E-4</v>
      </c>
      <c r="V100" s="18">
        <v>6.5176491813213116E-3</v>
      </c>
      <c r="W100" s="133"/>
      <c r="X100" s="16">
        <v>8293.3700000000008</v>
      </c>
      <c r="Y100" s="21">
        <v>3.3025231058786354E-4</v>
      </c>
      <c r="Z100" s="18">
        <v>9.5911926410280728E-3</v>
      </c>
      <c r="AB100" s="16">
        <v>4334.8500000000004</v>
      </c>
      <c r="AC100" s="21">
        <v>1.8361589698516411E-4</v>
      </c>
      <c r="AD100" s="18">
        <v>5.2109892566960829E-3</v>
      </c>
      <c r="AF100" s="95">
        <v>10803.210000000001</v>
      </c>
      <c r="AG100" s="100">
        <v>4.5411831656067908E-4</v>
      </c>
      <c r="AH100" s="18">
        <v>1.280554979345333E-2</v>
      </c>
      <c r="AJ100" s="95">
        <v>10577</v>
      </c>
      <c r="AK100" s="100">
        <v>4.8901880690414845E-4</v>
      </c>
      <c r="AL100" s="18">
        <v>1.3575990635300399E-2</v>
      </c>
      <c r="AN100" s="95"/>
      <c r="AO100" s="100"/>
      <c r="AP100" s="18"/>
      <c r="AR100" s="95"/>
      <c r="AS100" s="100"/>
      <c r="AT100" s="18"/>
      <c r="AV100" s="95"/>
      <c r="AW100" s="100"/>
      <c r="AX100" s="18"/>
      <c r="AZ100" s="95"/>
      <c r="BA100" s="100"/>
      <c r="BB100" s="18"/>
      <c r="BD100" s="95">
        <v>10002.779166666665</v>
      </c>
      <c r="BE100" s="100">
        <v>3.8962471968512399E-5</v>
      </c>
      <c r="BF100" s="18">
        <v>1.1230212913355636E-3</v>
      </c>
    </row>
    <row r="101" spans="1:58" ht="15.75" x14ac:dyDescent="0.25">
      <c r="A101" s="177" t="s">
        <v>69</v>
      </c>
      <c r="B101" s="178"/>
      <c r="C101" s="136"/>
      <c r="D101" s="16"/>
      <c r="E101" s="17">
        <v>0</v>
      </c>
      <c r="F101" s="18">
        <v>0</v>
      </c>
      <c r="G101" s="136"/>
      <c r="H101" s="16">
        <v>-2478.23</v>
      </c>
      <c r="I101" s="21">
        <v>-1.3785163645522552E-4</v>
      </c>
      <c r="J101" s="18">
        <v>-3.4247103500121608E-3</v>
      </c>
      <c r="K101" s="19">
        <v>3.4247103500121608E-3</v>
      </c>
      <c r="L101" s="16">
        <v>-409930.32</v>
      </c>
      <c r="M101" s="21">
        <v>-1.8175625810033579E-2</v>
      </c>
      <c r="N101" s="18">
        <v>-0.45272056208737449</v>
      </c>
      <c r="O101" s="136"/>
      <c r="P101" s="16">
        <v>-12300</v>
      </c>
      <c r="Q101" s="21">
        <v>-5.5470708421829031E-4</v>
      </c>
      <c r="R101" s="18">
        <v>-1.4089405179677716E-2</v>
      </c>
      <c r="S101" s="136"/>
      <c r="T101" s="16"/>
      <c r="U101" s="21">
        <v>0</v>
      </c>
      <c r="V101" s="18">
        <v>0</v>
      </c>
      <c r="W101" s="136"/>
      <c r="X101" s="16">
        <v>-921835.58</v>
      </c>
      <c r="Y101" s="21">
        <v>-3.6708639585247407E-2</v>
      </c>
      <c r="Z101" s="18">
        <v>-1.0660928707068229</v>
      </c>
      <c r="AB101" s="16">
        <v>-1223.0999999999999</v>
      </c>
      <c r="AC101" s="21">
        <v>-5.1808160282951932E-5</v>
      </c>
      <c r="AD101" s="18">
        <v>-1.4703071524654781E-3</v>
      </c>
      <c r="AF101" s="95">
        <v>-772413.47</v>
      </c>
      <c r="AG101" s="100">
        <v>-3.2468785174516887E-2</v>
      </c>
      <c r="AH101" s="18">
        <v>-0.91557779134341266</v>
      </c>
      <c r="AJ101" s="95">
        <v>-362850</v>
      </c>
      <c r="AK101" s="100">
        <v>-1.6776068269374139E-2</v>
      </c>
      <c r="AL101" s="18">
        <v>-0.46573207923028742</v>
      </c>
      <c r="AN101" s="95"/>
      <c r="AO101" s="100"/>
      <c r="AP101" s="18"/>
      <c r="AR101" s="95"/>
      <c r="AS101" s="100"/>
      <c r="AT101" s="18"/>
      <c r="AV101" s="95"/>
      <c r="AW101" s="100"/>
      <c r="AX101" s="18"/>
      <c r="AZ101" s="95"/>
      <c r="BA101" s="100"/>
      <c r="BB101" s="18"/>
      <c r="BD101" s="95">
        <v>-206932.56833316668</v>
      </c>
      <c r="BE101" s="100">
        <v>-8.0603642834795009E-4</v>
      </c>
      <c r="BF101" s="18">
        <v>-2.323251130878853E-2</v>
      </c>
    </row>
    <row r="102" spans="1:58" ht="15.75" x14ac:dyDescent="0.25">
      <c r="A102" s="46" t="s">
        <v>111</v>
      </c>
      <c r="B102" s="46"/>
      <c r="C102" s="137"/>
      <c r="D102" s="13">
        <v>112702.7649029825</v>
      </c>
      <c r="E102" s="24">
        <v>5.79792484154781E-3</v>
      </c>
      <c r="F102" s="14">
        <v>0.14603211189773921</v>
      </c>
      <c r="G102" s="137"/>
      <c r="H102" s="13">
        <v>-988214.50698699697</v>
      </c>
      <c r="I102" s="24">
        <v>-5.4969468918119553E-2</v>
      </c>
      <c r="J102" s="14">
        <v>-1.3656312973818141</v>
      </c>
      <c r="K102" s="19"/>
      <c r="L102" s="13">
        <v>-10256.58581399644</v>
      </c>
      <c r="M102" s="24">
        <v>-4.5475988661609115E-4</v>
      </c>
      <c r="N102" s="14">
        <v>-1.1327211158252113E-2</v>
      </c>
      <c r="O102" s="137"/>
      <c r="P102" s="13">
        <v>1267228.0722569847</v>
      </c>
      <c r="Q102" s="24">
        <v>5.7149625122051781E-2</v>
      </c>
      <c r="R102" s="14">
        <v>1.4515845337472006</v>
      </c>
      <c r="S102" s="137"/>
      <c r="T102" s="13">
        <v>2151752.1227560029</v>
      </c>
      <c r="U102" s="24">
        <v>9.4576000735773658E-2</v>
      </c>
      <c r="V102" s="14">
        <v>2.488478040301338</v>
      </c>
      <c r="W102" s="137"/>
      <c r="X102" s="13">
        <v>4970912.6182200015</v>
      </c>
      <c r="Y102" s="24">
        <v>0.19794792441402248</v>
      </c>
      <c r="Z102" s="14">
        <v>5.7488066398900886</v>
      </c>
      <c r="AB102" s="13">
        <v>1378652.9493660051</v>
      </c>
      <c r="AC102" s="24">
        <v>5.8397083619751787E-2</v>
      </c>
      <c r="AD102" s="14">
        <v>1.6572997238332632</v>
      </c>
      <c r="AF102" s="13">
        <v>956523.68889500177</v>
      </c>
      <c r="AG102" s="24">
        <v>4.0207949984440633E-2</v>
      </c>
      <c r="AH102" s="14">
        <v>1.1338122397660146</v>
      </c>
      <c r="AJ102" s="13">
        <v>-431789.17657199688</v>
      </c>
      <c r="AK102" s="24">
        <v>-1.9963413818791964E-2</v>
      </c>
      <c r="AL102" s="14">
        <v>-0.55421819207388678</v>
      </c>
      <c r="AN102" s="13"/>
      <c r="AO102" s="24"/>
      <c r="AP102" s="14"/>
      <c r="AR102" s="13"/>
      <c r="AS102" s="24"/>
      <c r="AT102" s="14"/>
      <c r="AV102" s="13"/>
      <c r="AW102" s="24"/>
      <c r="AX102" s="14"/>
      <c r="AZ102" s="13"/>
      <c r="BA102" s="24"/>
      <c r="BB102" s="14"/>
      <c r="BD102" s="13">
        <v>532441.74082483212</v>
      </c>
      <c r="BE102" s="24">
        <v>2.0739482553893697E-3</v>
      </c>
      <c r="BF102" s="14">
        <v>5.977772790732494E-2</v>
      </c>
    </row>
    <row r="103" spans="1:58" ht="15.75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9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B103" s="1"/>
      <c r="AC103" s="1"/>
      <c r="AD103" s="1"/>
      <c r="AF103" s="1"/>
      <c r="AG103" s="1"/>
      <c r="AH103" s="1"/>
      <c r="AJ103" s="1"/>
      <c r="AK103" s="1"/>
      <c r="AL103" s="1"/>
      <c r="AN103" s="1"/>
      <c r="AO103" s="1"/>
      <c r="AP103" s="1"/>
      <c r="AR103" s="1"/>
      <c r="AS103" s="1"/>
      <c r="AT103" s="1"/>
      <c r="AV103" s="1"/>
      <c r="AW103" s="1"/>
      <c r="AX103" s="1"/>
      <c r="AZ103" s="1"/>
      <c r="BA103" s="1"/>
      <c r="BB103" s="1"/>
      <c r="BD103" s="1"/>
      <c r="BE103" s="1"/>
      <c r="BF103" s="1"/>
    </row>
    <row r="104" spans="1:58" ht="15.75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9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B104" s="1"/>
      <c r="AC104" s="1"/>
      <c r="AD104" s="1"/>
      <c r="AF104" s="1"/>
      <c r="AG104" s="1"/>
      <c r="AH104" s="1"/>
      <c r="AJ104" s="1"/>
      <c r="AK104" s="1"/>
      <c r="AL104" s="1"/>
      <c r="AN104" s="1"/>
      <c r="AO104" s="1"/>
      <c r="AP104" s="1"/>
      <c r="AR104" s="1"/>
      <c r="AS104" s="1"/>
      <c r="AT104" s="1"/>
      <c r="AV104" s="1"/>
      <c r="AW104" s="1"/>
      <c r="AX104" s="1"/>
      <c r="AZ104" s="1"/>
      <c r="BA104" s="1"/>
      <c r="BB104" s="1"/>
      <c r="BD104" s="1"/>
      <c r="BE104" s="1"/>
      <c r="BF104" s="1"/>
    </row>
    <row r="105" spans="1:58" ht="15.75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9">
        <v>0</v>
      </c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B105" s="1"/>
      <c r="AC105" s="1">
        <v>0</v>
      </c>
      <c r="AD105" s="1">
        <v>0</v>
      </c>
      <c r="AF105" s="1"/>
      <c r="AG105" s="1">
        <v>0</v>
      </c>
      <c r="AH105" s="1">
        <v>0</v>
      </c>
      <c r="AJ105" s="1"/>
      <c r="AK105" s="1">
        <v>0</v>
      </c>
      <c r="AL105" s="1">
        <v>0</v>
      </c>
      <c r="AN105" s="1"/>
      <c r="AO105" s="1"/>
      <c r="AP105" s="1"/>
      <c r="AR105" s="1"/>
      <c r="AS105" s="1"/>
      <c r="AT105" s="1"/>
      <c r="AV105" s="1"/>
      <c r="AW105" s="1"/>
      <c r="AX105" s="1"/>
      <c r="AZ105" s="1"/>
      <c r="BA105" s="1"/>
      <c r="BB105" s="1"/>
      <c r="BD105" s="1"/>
      <c r="BE105" s="1"/>
      <c r="BF105" s="1"/>
    </row>
    <row r="106" spans="1:58" ht="15.75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9">
        <v>0</v>
      </c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B106" s="1"/>
      <c r="AC106" s="1">
        <v>0</v>
      </c>
      <c r="AD106" s="1">
        <v>0</v>
      </c>
      <c r="AF106" s="1"/>
      <c r="AG106" s="1">
        <v>0</v>
      </c>
      <c r="AH106" s="1">
        <v>0</v>
      </c>
      <c r="AJ106" s="1"/>
      <c r="AK106" s="1">
        <v>0</v>
      </c>
      <c r="AL106" s="1">
        <v>0</v>
      </c>
      <c r="AN106" s="1"/>
      <c r="AO106" s="1"/>
      <c r="AP106" s="1"/>
      <c r="AR106" s="1"/>
      <c r="AS106" s="1"/>
      <c r="AT106" s="1"/>
      <c r="AV106" s="1"/>
      <c r="AW106" s="1"/>
      <c r="AX106" s="1"/>
      <c r="AZ106" s="1"/>
      <c r="BA106" s="1"/>
      <c r="BB106" s="1"/>
      <c r="BD106" s="1"/>
      <c r="BE106" s="1"/>
      <c r="BF106" s="1"/>
    </row>
    <row r="107" spans="1:58" ht="15.75" x14ac:dyDescent="0.25">
      <c r="A107" s="179" t="s">
        <v>112</v>
      </c>
      <c r="B107" s="179"/>
      <c r="C107" s="133"/>
      <c r="D107" s="6">
        <v>-1708535.68</v>
      </c>
      <c r="E107" s="47">
        <v>-8.7894573573861226E-2</v>
      </c>
      <c r="F107" s="48">
        <v>-2.213797273011155</v>
      </c>
      <c r="G107" s="133"/>
      <c r="H107" s="6">
        <v>-1708535.68</v>
      </c>
      <c r="I107" s="47">
        <v>-9.503736111262534E-2</v>
      </c>
      <c r="J107" s="48">
        <v>-2.3610560063678774</v>
      </c>
      <c r="K107" s="19">
        <v>2.3610560063678774</v>
      </c>
      <c r="L107" s="6">
        <v>-2135669.61</v>
      </c>
      <c r="M107" s="49">
        <v>-9.4692023964512664E-2</v>
      </c>
      <c r="N107" s="48">
        <v>-2.3585997402488399</v>
      </c>
      <c r="O107" s="133"/>
      <c r="P107" s="6">
        <v>-1708535.68</v>
      </c>
      <c r="Q107" s="49">
        <v>-7.7051776043553968E-2</v>
      </c>
      <c r="R107" s="48">
        <v>-1.957093614589934</v>
      </c>
      <c r="S107" s="133"/>
      <c r="T107" s="6">
        <v>-2134170</v>
      </c>
      <c r="U107" s="49">
        <v>-9.3803213370015931E-2</v>
      </c>
      <c r="V107" s="48">
        <v>-2.4681445056355718</v>
      </c>
      <c r="W107" s="133"/>
      <c r="X107" s="6">
        <v>-1708535.68</v>
      </c>
      <c r="Y107" s="49">
        <v>-6.8036016244519007E-2</v>
      </c>
      <c r="Z107" s="48">
        <v>-1.9759030214436222</v>
      </c>
      <c r="AB107" s="6">
        <v>-1713946.2</v>
      </c>
      <c r="AC107" s="49">
        <v>-7.259945993455677E-2</v>
      </c>
      <c r="AD107" s="48">
        <v>-2.0603608509533373</v>
      </c>
      <c r="AF107" s="6">
        <v>-2135670</v>
      </c>
      <c r="AG107" s="49">
        <v>-8.9773952846343402E-2</v>
      </c>
      <c r="AH107" s="48">
        <v>-2.5315094798105817</v>
      </c>
      <c r="AJ107" s="6">
        <v>-1708535.68</v>
      </c>
      <c r="AK107" s="49">
        <v>-7.8992727596366455E-2</v>
      </c>
      <c r="AL107" s="48">
        <v>-2.1929719572427531</v>
      </c>
      <c r="AN107" s="6"/>
      <c r="AO107" s="49"/>
      <c r="AP107" s="48"/>
      <c r="AR107" s="6"/>
      <c r="AS107" s="49"/>
      <c r="AT107" s="48"/>
      <c r="AV107" s="6"/>
      <c r="AW107" s="49"/>
      <c r="AX107" s="48"/>
      <c r="AZ107" s="6"/>
      <c r="BA107" s="49"/>
      <c r="BB107" s="48"/>
      <c r="BD107" s="6">
        <v>-1851239.5816666663</v>
      </c>
      <c r="BE107" s="49">
        <v>-7.2108830062000053E-3</v>
      </c>
      <c r="BF107" s="48">
        <v>-0.20784038425069118</v>
      </c>
    </row>
    <row r="108" spans="1:58" ht="15.75" x14ac:dyDescent="0.25">
      <c r="A108" s="179" t="s">
        <v>113</v>
      </c>
      <c r="B108" s="179"/>
      <c r="C108" s="133"/>
      <c r="D108" s="6">
        <v>582594.06000000006</v>
      </c>
      <c r="E108" s="47">
        <v>2.9971195257897411E-2</v>
      </c>
      <c r="F108" s="48">
        <v>0.75488335209979185</v>
      </c>
      <c r="G108" s="133"/>
      <c r="H108" s="6">
        <v>579590.57999999996</v>
      </c>
      <c r="I108" s="47">
        <v>3.2239747693730322E-2</v>
      </c>
      <c r="J108" s="48">
        <v>0.80094658611006697</v>
      </c>
      <c r="K108" s="19">
        <v>-0.80094658611006697</v>
      </c>
      <c r="L108" s="6">
        <v>579590.57999999996</v>
      </c>
      <c r="M108" s="49">
        <v>2.5698078407814115E-2</v>
      </c>
      <c r="N108" s="48">
        <v>0.64009066994153385</v>
      </c>
      <c r="O108" s="133"/>
      <c r="P108" s="6">
        <v>722835.96</v>
      </c>
      <c r="Q108" s="49">
        <v>3.2598555100790953E-2</v>
      </c>
      <c r="R108" s="48">
        <v>0.82799420478709873</v>
      </c>
      <c r="S108" s="133"/>
      <c r="T108" s="6">
        <v>579590.57999999996</v>
      </c>
      <c r="U108" s="49">
        <v>2.5474755451998336E-2</v>
      </c>
      <c r="V108" s="48">
        <v>0.67029023252371378</v>
      </c>
      <c r="W108" s="133"/>
      <c r="X108" s="6">
        <v>722835.96</v>
      </c>
      <c r="Y108" s="49">
        <v>2.8784227155667294E-2</v>
      </c>
      <c r="Z108" s="48">
        <v>0.83595196406556826</v>
      </c>
      <c r="AB108" s="6">
        <v>579590.57999999996</v>
      </c>
      <c r="AC108" s="49">
        <v>2.4550340664809968E-2</v>
      </c>
      <c r="AD108" s="48">
        <v>0.69673467032590541</v>
      </c>
      <c r="AF108" s="6">
        <v>579591</v>
      </c>
      <c r="AG108" s="49">
        <v>2.4363396547296641E-2</v>
      </c>
      <c r="AH108" s="48">
        <v>0.6870163044444576</v>
      </c>
      <c r="AJ108" s="6">
        <v>722835.96</v>
      </c>
      <c r="AK108" s="49">
        <v>3.3419720028988825E-2</v>
      </c>
      <c r="AL108" s="48">
        <v>0.92778805179336044</v>
      </c>
      <c r="AN108" s="6"/>
      <c r="AO108" s="49"/>
      <c r="AP108" s="48"/>
      <c r="AR108" s="6"/>
      <c r="AS108" s="49"/>
      <c r="AT108" s="48"/>
      <c r="AV108" s="6"/>
      <c r="AW108" s="49"/>
      <c r="AX108" s="48"/>
      <c r="AZ108" s="6"/>
      <c r="BA108" s="49"/>
      <c r="BB108" s="48"/>
      <c r="BD108" s="6">
        <v>639526.51500000001</v>
      </c>
      <c r="BE108" s="49">
        <v>2.4910610839878676E-3</v>
      </c>
      <c r="BF108" s="48">
        <v>7.1800234789944573E-2</v>
      </c>
    </row>
    <row r="109" spans="1:58" ht="15.75" x14ac:dyDescent="0.25">
      <c r="A109" s="50" t="s">
        <v>114</v>
      </c>
      <c r="B109" s="50"/>
      <c r="C109" s="138"/>
      <c r="D109" s="51">
        <v>-1013238.8550970175</v>
      </c>
      <c r="E109" s="52">
        <v>-5.2125453474416009E-2</v>
      </c>
      <c r="F109" s="53">
        <v>-1.3128818090136238</v>
      </c>
      <c r="G109" s="138"/>
      <c r="H109" s="51">
        <v>-2117159.6069869967</v>
      </c>
      <c r="I109" s="52">
        <v>-0.11776708233701456</v>
      </c>
      <c r="J109" s="53">
        <v>-2.9257407176396244</v>
      </c>
      <c r="K109" s="11"/>
      <c r="L109" s="51">
        <v>-1566335.6158139962</v>
      </c>
      <c r="M109" s="52">
        <v>-6.9448705443314634E-2</v>
      </c>
      <c r="N109" s="53">
        <v>-1.7298362814655577</v>
      </c>
      <c r="O109" s="138"/>
      <c r="P109" s="51">
        <v>281528.35225698468</v>
      </c>
      <c r="Q109" s="52">
        <v>1.2696404179288757E-2</v>
      </c>
      <c r="R109" s="53">
        <v>0.32248512394436524</v>
      </c>
      <c r="S109" s="138"/>
      <c r="T109" s="51">
        <v>597172.70275600289</v>
      </c>
      <c r="U109" s="52">
        <v>2.6247542817756056E-2</v>
      </c>
      <c r="V109" s="53">
        <v>0.69062376718948026</v>
      </c>
      <c r="W109" s="138"/>
      <c r="X109" s="51">
        <v>3985212.8982200017</v>
      </c>
      <c r="Y109" s="52">
        <v>0.1586961353251708</v>
      </c>
      <c r="Z109" s="53">
        <v>4.6088555825120352</v>
      </c>
      <c r="AB109" s="51">
        <v>244297.32936600514</v>
      </c>
      <c r="AC109" s="52">
        <v>1.0347964350004983E-2</v>
      </c>
      <c r="AD109" s="53">
        <v>0.29367354320583117</v>
      </c>
      <c r="AF109" s="51">
        <v>-599555.31110499823</v>
      </c>
      <c r="AG109" s="52">
        <v>-2.5202606314606121E-2</v>
      </c>
      <c r="AH109" s="53">
        <v>-0.71068093560010936</v>
      </c>
      <c r="AJ109" s="51">
        <v>-1417488.8965719966</v>
      </c>
      <c r="AK109" s="52">
        <v>-6.553642138616958E-2</v>
      </c>
      <c r="AL109" s="53">
        <v>-1.819402097523279</v>
      </c>
      <c r="AN109" s="51"/>
      <c r="AO109" s="52"/>
      <c r="AP109" s="53"/>
      <c r="AR109" s="51"/>
      <c r="AS109" s="52"/>
      <c r="AT109" s="53"/>
      <c r="AV109" s="51"/>
      <c r="AW109" s="52"/>
      <c r="AX109" s="53"/>
      <c r="AZ109" s="51"/>
      <c r="BA109" s="52"/>
      <c r="BB109" s="53"/>
      <c r="BD109" s="51">
        <v>-679271.32584183419</v>
      </c>
      <c r="BE109" s="52">
        <v>-2.6458736668227676E-3</v>
      </c>
      <c r="BF109" s="53">
        <v>-7.6262421553421653E-2</v>
      </c>
    </row>
    <row r="110" spans="1:58" ht="15.75" x14ac:dyDescent="0.25">
      <c r="D110" s="3"/>
      <c r="E110" s="3"/>
      <c r="F110" s="3"/>
      <c r="P110" s="3"/>
      <c r="Q110" s="3"/>
      <c r="R110" s="3"/>
      <c r="T110" s="3"/>
      <c r="U110" s="3"/>
      <c r="V110" s="3"/>
    </row>
    <row r="111" spans="1:58" ht="15.75" x14ac:dyDescent="0.25">
      <c r="T111" s="124"/>
      <c r="U111" s="3"/>
      <c r="V111" s="3"/>
    </row>
    <row r="121" spans="1:58" ht="31.5" x14ac:dyDescent="0.35">
      <c r="A121" s="171" t="s">
        <v>140</v>
      </c>
      <c r="B121" s="172"/>
      <c r="D121" s="151" t="str">
        <f>D1</f>
        <v>Enero</v>
      </c>
      <c r="E121" s="151"/>
      <c r="F121" s="151"/>
      <c r="H121" s="151" t="str">
        <f>H1</f>
        <v>Febrero</v>
      </c>
      <c r="I121" s="151"/>
      <c r="J121" s="151"/>
      <c r="L121" s="151" t="str">
        <f>L1</f>
        <v>Marzo</v>
      </c>
      <c r="M121" s="151"/>
      <c r="N121" s="151"/>
      <c r="P121" s="151" t="str">
        <f>P1</f>
        <v>Abril</v>
      </c>
      <c r="Q121" s="151"/>
      <c r="R121" s="151"/>
      <c r="T121" s="151" t="str">
        <f>T1</f>
        <v>Mayo</v>
      </c>
      <c r="U121" s="151"/>
      <c r="V121" s="151"/>
      <c r="X121" s="151" t="str">
        <f>X1</f>
        <v>Junio</v>
      </c>
      <c r="Y121" s="151"/>
      <c r="Z121" s="151"/>
      <c r="AB121" s="151" t="s">
        <v>117</v>
      </c>
      <c r="AC121" s="151"/>
      <c r="AD121" s="151"/>
      <c r="AF121" s="151" t="s">
        <v>141</v>
      </c>
      <c r="AG121" s="151"/>
      <c r="AH121" s="151"/>
      <c r="AJ121" s="151" t="s">
        <v>144</v>
      </c>
      <c r="AK121" s="151"/>
      <c r="AL121" s="151"/>
      <c r="AN121" s="151" t="s">
        <v>145</v>
      </c>
      <c r="AO121" s="151"/>
      <c r="AP121" s="151"/>
      <c r="AR121" s="151" t="str">
        <f>AR1</f>
        <v>Noviembre</v>
      </c>
      <c r="AS121" s="151"/>
      <c r="AT121" s="151"/>
      <c r="AV121" s="151" t="str">
        <f>AV1</f>
        <v>Diciembre</v>
      </c>
      <c r="AW121" s="151"/>
      <c r="AX121" s="151"/>
      <c r="AZ121" s="151" t="str">
        <f>AZ1</f>
        <v>Acumulado</v>
      </c>
      <c r="BA121" s="151"/>
      <c r="BB121" s="151"/>
      <c r="BD121" s="151" t="str">
        <f>BD1</f>
        <v>Promedio Mensual</v>
      </c>
      <c r="BE121" s="151"/>
      <c r="BF121" s="151"/>
    </row>
    <row r="122" spans="1:58" ht="33.75" x14ac:dyDescent="0.35">
      <c r="A122" s="106" t="s">
        <v>20</v>
      </c>
      <c r="B122" s="107"/>
      <c r="D122" s="108"/>
      <c r="E122" s="108"/>
      <c r="F122" s="108"/>
      <c r="H122" s="108"/>
      <c r="I122" s="108"/>
      <c r="J122" s="108"/>
      <c r="L122" s="108"/>
      <c r="M122" s="108"/>
      <c r="N122" s="108"/>
      <c r="P122" s="108"/>
      <c r="Q122" s="108"/>
      <c r="R122" s="108"/>
      <c r="T122" s="108"/>
      <c r="U122" s="108"/>
      <c r="V122" s="108"/>
      <c r="X122" s="108"/>
      <c r="Y122" s="108"/>
      <c r="Z122" s="108"/>
      <c r="AB122" s="108"/>
      <c r="AC122" s="108"/>
      <c r="AD122" s="108"/>
      <c r="AF122" s="108"/>
      <c r="AG122" s="108"/>
      <c r="AH122" s="108"/>
      <c r="AJ122" s="108"/>
      <c r="AK122" s="108"/>
      <c r="AL122" s="108"/>
      <c r="AN122" s="108"/>
      <c r="AO122" s="108"/>
      <c r="AP122" s="108"/>
      <c r="AR122" s="108"/>
      <c r="AS122" s="108"/>
      <c r="AT122" s="108"/>
      <c r="AV122" s="108"/>
      <c r="AW122" s="108"/>
      <c r="AX122" s="108"/>
      <c r="AZ122" s="108"/>
      <c r="BA122" s="108"/>
      <c r="BB122" s="108"/>
      <c r="BD122" s="108"/>
      <c r="BE122" s="108"/>
      <c r="BF122" s="108"/>
    </row>
    <row r="123" spans="1:58" ht="31.5" x14ac:dyDescent="0.35">
      <c r="A123" s="109" t="s">
        <v>2</v>
      </c>
      <c r="B123" s="107"/>
      <c r="D123" s="110">
        <f>+D16</f>
        <v>19438466</v>
      </c>
      <c r="E123" s="108"/>
      <c r="F123" s="108"/>
      <c r="H123" s="110">
        <f>+H16</f>
        <v>17977516</v>
      </c>
      <c r="I123" s="108"/>
      <c r="J123" s="108"/>
      <c r="L123" s="110">
        <f>+L16</f>
        <v>22553849</v>
      </c>
      <c r="M123" s="108"/>
      <c r="N123" s="108"/>
      <c r="P123" s="110">
        <f>+P16</f>
        <v>22173865</v>
      </c>
      <c r="Q123" s="108"/>
      <c r="R123" s="108"/>
      <c r="T123" s="110">
        <f>+T16</f>
        <v>22751566</v>
      </c>
      <c r="U123" s="108"/>
      <c r="V123" s="108"/>
      <c r="X123" s="110">
        <f>+X16</f>
        <v>25112224</v>
      </c>
      <c r="Y123" s="108"/>
      <c r="Z123" s="108"/>
      <c r="AB123" s="110">
        <f>+AB16</f>
        <v>23608250</v>
      </c>
      <c r="AC123" s="108"/>
      <c r="AD123" s="108"/>
      <c r="AF123" s="110">
        <f>+AF16</f>
        <v>23789417</v>
      </c>
      <c r="AG123" s="105"/>
      <c r="AH123" s="105"/>
      <c r="AJ123" s="110">
        <f>+AJ16</f>
        <v>21629025</v>
      </c>
      <c r="AK123" s="105"/>
      <c r="AL123" s="105"/>
      <c r="AN123" s="110">
        <f>+AN16</f>
        <v>0</v>
      </c>
      <c r="AO123" s="105"/>
      <c r="AP123" s="105"/>
      <c r="AR123" s="110">
        <f>+AR16</f>
        <v>0</v>
      </c>
      <c r="AS123" s="105"/>
      <c r="AT123" s="105"/>
      <c r="AV123" s="110">
        <f>+AV16</f>
        <v>0</v>
      </c>
      <c r="AW123" s="105"/>
      <c r="AX123" s="105"/>
      <c r="AZ123" s="110">
        <f>+AZ16</f>
        <v>0</v>
      </c>
      <c r="BA123" s="105"/>
      <c r="BB123" s="105"/>
      <c r="BD123" s="110">
        <f>+BD16</f>
        <v>21394046.333333332</v>
      </c>
      <c r="BE123" s="105"/>
      <c r="BF123" s="105"/>
    </row>
    <row r="124" spans="1:58" ht="22.5" x14ac:dyDescent="0.25">
      <c r="A124" s="62" t="s">
        <v>125</v>
      </c>
      <c r="B124" s="88"/>
      <c r="D124" s="89">
        <f>SUM(D126:D129)</f>
        <v>10474659.66</v>
      </c>
      <c r="E124" s="102">
        <f>+D124/$AB$123</f>
        <v>0.44368640877659293</v>
      </c>
      <c r="H124" s="89">
        <f>SUM(H126:H129)</f>
        <v>9867897.8900000006</v>
      </c>
      <c r="I124" s="102">
        <f>+H124/$AB$123</f>
        <v>0.41798514883568244</v>
      </c>
      <c r="L124" s="89">
        <f>SUM(L126:L129)</f>
        <v>12335626.57</v>
      </c>
      <c r="M124" s="102">
        <f>+L124/$AB$123</f>
        <v>0.52251338282168314</v>
      </c>
      <c r="P124" s="89">
        <f>SUM(P126:P129)</f>
        <v>12023077.57</v>
      </c>
      <c r="Q124" s="102">
        <f>+P124/$AB$123</f>
        <v>0.50927440915781563</v>
      </c>
      <c r="T124" s="89">
        <f>SUM(T126:T129)</f>
        <v>12226166.57</v>
      </c>
      <c r="U124" s="102">
        <f>+T124/$AB$123</f>
        <v>0.51787686804401001</v>
      </c>
      <c r="X124" s="89">
        <f>SUM(X126:X129)</f>
        <v>12534329.57</v>
      </c>
      <c r="Y124" s="102">
        <f>+X124/$AB$123</f>
        <v>0.53093005919540837</v>
      </c>
      <c r="AB124" s="89">
        <f>SUM(AB126:AB129)</f>
        <v>11972237.57</v>
      </c>
      <c r="AC124" s="102">
        <f>+AB124/$AB$123</f>
        <v>0.50712092467675496</v>
      </c>
      <c r="AF124" s="89">
        <f>SUM(AF126:AF129)</f>
        <v>12464004.84</v>
      </c>
      <c r="AG124" s="102">
        <f>+AF124/$AF$123</f>
        <v>0.52393065538344219</v>
      </c>
      <c r="AJ124" s="113">
        <f>SUM(AJ126:AJ129)</f>
        <v>11369586.640000001</v>
      </c>
      <c r="AK124" s="102">
        <f>+AJ124/$AJ$123</f>
        <v>0.52566339166929621</v>
      </c>
      <c r="AN124" s="89">
        <f>SUM(AN126:AN129)</f>
        <v>0</v>
      </c>
      <c r="AO124" s="102">
        <f>+AN124/$AF$123</f>
        <v>0</v>
      </c>
      <c r="AR124" s="89">
        <f>SUM(AR126:AR129)</f>
        <v>0</v>
      </c>
      <c r="AS124" s="102">
        <f>+AR124/$AF$123</f>
        <v>0</v>
      </c>
      <c r="AV124" s="89">
        <f>SUM(AV126:AV129)</f>
        <v>0</v>
      </c>
      <c r="AW124" s="102">
        <f>+AV124/$AF$123</f>
        <v>0</v>
      </c>
      <c r="AZ124" s="89">
        <f>SUM(AZ126:AZ129)</f>
        <v>0</v>
      </c>
      <c r="BA124" s="102">
        <f>+AZ124/$AF$123</f>
        <v>0</v>
      </c>
      <c r="BD124" s="89">
        <f>SUM(BD126:BD129)</f>
        <v>11449365.982500002</v>
      </c>
      <c r="BE124" s="102">
        <f>+BD124/$AF$123</f>
        <v>0.48127980532267778</v>
      </c>
    </row>
    <row r="125" spans="1:58" x14ac:dyDescent="0.25">
      <c r="A125" s="62" t="s">
        <v>126</v>
      </c>
    </row>
    <row r="126" spans="1:58" x14ac:dyDescent="0.25">
      <c r="A126" s="63" t="s">
        <v>4</v>
      </c>
      <c r="D126" s="91">
        <f>+D18*-1</f>
        <v>6428527</v>
      </c>
      <c r="H126" s="91">
        <f>+H18*-1</f>
        <v>6137309</v>
      </c>
      <c r="L126" s="91">
        <f>+L18*-1</f>
        <v>7688795</v>
      </c>
      <c r="P126" s="91">
        <f>+P18*-1</f>
        <v>7483439</v>
      </c>
      <c r="T126" s="91">
        <f>+T18*-1</f>
        <v>7570162</v>
      </c>
      <c r="X126" s="91">
        <f>+X18*-1</f>
        <v>7834429</v>
      </c>
      <c r="AB126" s="91">
        <f>+AB18*-1</f>
        <v>7584509</v>
      </c>
      <c r="AF126" s="91">
        <f>+AF18*-1</f>
        <v>7972610</v>
      </c>
      <c r="AG126" s="92">
        <f>+AF126/AF123</f>
        <v>0.33513263481824712</v>
      </c>
      <c r="AJ126" s="91">
        <f>+AJ18*-1</f>
        <v>7351826</v>
      </c>
      <c r="AK126" s="92">
        <f>+AJ126/AJ123</f>
        <v>0.33990556670954886</v>
      </c>
      <c r="AN126" s="91">
        <f>+AN18*-1</f>
        <v>0</v>
      </c>
      <c r="AO126" s="92" t="e">
        <f>+AN126/AN123</f>
        <v>#DIV/0!</v>
      </c>
      <c r="AR126" s="91">
        <f>+AR18*-1</f>
        <v>0</v>
      </c>
      <c r="AS126" s="92" t="e">
        <f>+AR126/AR123</f>
        <v>#DIV/0!</v>
      </c>
      <c r="AV126" s="91">
        <f>+AV18*-1</f>
        <v>0</v>
      </c>
      <c r="AW126" s="92" t="e">
        <f>+AV126/AV123</f>
        <v>#DIV/0!</v>
      </c>
      <c r="AZ126" s="91">
        <f>+AZ18*-1</f>
        <v>0</v>
      </c>
      <c r="BA126" s="92" t="e">
        <f>+AZ126/AZ123</f>
        <v>#DIV/0!</v>
      </c>
      <c r="BD126" s="91">
        <f>+BD18*-1</f>
        <v>7191411.5</v>
      </c>
      <c r="BE126" s="92">
        <f>+BD126/BD123</f>
        <v>0.3361407836532217</v>
      </c>
      <c r="BF126" s="125">
        <f>+BD126/$BD$8</f>
        <v>104602.34909090909</v>
      </c>
    </row>
    <row r="127" spans="1:58" x14ac:dyDescent="0.25">
      <c r="A127" s="63" t="s">
        <v>5</v>
      </c>
      <c r="D127" s="91">
        <f>+D17*-1</f>
        <v>2104776</v>
      </c>
      <c r="H127" s="91">
        <f>+H17*-1</f>
        <v>1902061</v>
      </c>
      <c r="L127" s="91">
        <f>+L17*-1</f>
        <v>2466105</v>
      </c>
      <c r="P127" s="91">
        <f>+P17*-1</f>
        <v>2413184</v>
      </c>
      <c r="T127" s="91">
        <f>+T17*-1</f>
        <v>2516418</v>
      </c>
      <c r="X127" s="91">
        <f>+X17*-1</f>
        <v>2562114</v>
      </c>
      <c r="AB127" s="91">
        <f>+AB17*-1</f>
        <v>2335407</v>
      </c>
      <c r="AF127" s="91">
        <f>+AF17*-1</f>
        <v>2368291</v>
      </c>
      <c r="AG127" s="92">
        <f>+AF127/AF123</f>
        <v>9.955229251729876E-2</v>
      </c>
      <c r="AJ127" s="91">
        <f>+AJ17*-1</f>
        <v>2101466</v>
      </c>
      <c r="AK127" s="92">
        <f>+AJ127/AJ123</f>
        <v>9.715953446815101E-2</v>
      </c>
      <c r="AN127" s="91">
        <f>+AN17*-1</f>
        <v>0</v>
      </c>
      <c r="AO127" s="92" t="e">
        <f>+AN127/AN123</f>
        <v>#DIV/0!</v>
      </c>
      <c r="AR127" s="91">
        <f>+AR17*-1</f>
        <v>0</v>
      </c>
      <c r="AS127" s="92" t="e">
        <f>+AR127/AR123</f>
        <v>#DIV/0!</v>
      </c>
      <c r="AV127" s="91">
        <f>+AV17*-1</f>
        <v>0</v>
      </c>
      <c r="AW127" s="92" t="e">
        <f>+AV127/AV123</f>
        <v>#DIV/0!</v>
      </c>
      <c r="AZ127" s="91">
        <f>+AZ17*-1</f>
        <v>0</v>
      </c>
      <c r="BA127" s="92" t="e">
        <f>+AZ127/AZ123</f>
        <v>#DIV/0!</v>
      </c>
      <c r="BD127" s="91">
        <f>+BD17*-1</f>
        <v>2259825.3333333335</v>
      </c>
      <c r="BE127" s="92">
        <f>+BD127/BD123</f>
        <v>0.10562870146786477</v>
      </c>
      <c r="BF127" s="125">
        <f>+BD127/$BD$8</f>
        <v>32870.186666666668</v>
      </c>
    </row>
    <row r="128" spans="1:58" x14ac:dyDescent="0.25">
      <c r="A128" s="63" t="s">
        <v>6</v>
      </c>
      <c r="D128" s="91">
        <f>+D21*-1</f>
        <v>1532266</v>
      </c>
      <c r="H128" s="91">
        <f>+H21*-1</f>
        <v>1413508</v>
      </c>
      <c r="L128" s="91">
        <f>+L21*-1</f>
        <v>1784565</v>
      </c>
      <c r="P128" s="91">
        <f>+P21*-1</f>
        <v>1730293</v>
      </c>
      <c r="T128" s="91">
        <f>+T21*-1</f>
        <v>1743425</v>
      </c>
      <c r="X128" s="91">
        <f>+X21*-1</f>
        <v>1741625</v>
      </c>
      <c r="AB128" s="91">
        <f>+AB21*-1</f>
        <v>1656160</v>
      </c>
      <c r="AF128" s="91">
        <f>+AF21*-1</f>
        <v>1677674</v>
      </c>
      <c r="AG128" s="92">
        <f>+AF128/AF123</f>
        <v>7.0521862725765827E-2</v>
      </c>
      <c r="AJ128" s="91">
        <f>+AJ21*-1</f>
        <v>1509318</v>
      </c>
      <c r="AK128" s="92">
        <f>+AJ128/AJ123</f>
        <v>6.9782063685256274E-2</v>
      </c>
      <c r="AN128" s="91">
        <f>+AN21*-1</f>
        <v>0</v>
      </c>
      <c r="AO128" s="92" t="e">
        <f>+AN128/AN123</f>
        <v>#DIV/0!</v>
      </c>
      <c r="AR128" s="91">
        <f>+AR21*-1</f>
        <v>0</v>
      </c>
      <c r="AS128" s="92" t="e">
        <f>+AR128/AR123</f>
        <v>#DIV/0!</v>
      </c>
      <c r="AV128" s="91">
        <f>+AV21*-1</f>
        <v>0</v>
      </c>
      <c r="AW128" s="92" t="e">
        <f>+AV128/AV123</f>
        <v>#DIV/0!</v>
      </c>
      <c r="AZ128" s="91">
        <f>+AZ21*-1</f>
        <v>0</v>
      </c>
      <c r="BA128" s="92" t="e">
        <f>+AZ128/AZ123</f>
        <v>#DIV/0!</v>
      </c>
      <c r="BD128" s="91">
        <f>+BD21*-1</f>
        <v>1582859.8333333333</v>
      </c>
      <c r="BE128" s="92">
        <f>+BD128/BD123</f>
        <v>7.3985996322123201E-2</v>
      </c>
      <c r="BF128" s="125">
        <f>+BD128/$BD$8</f>
        <v>23023.415757575756</v>
      </c>
    </row>
    <row r="129" spans="1:58" x14ac:dyDescent="0.25">
      <c r="A129" s="63" t="s">
        <v>7</v>
      </c>
      <c r="D129" s="87">
        <f>SUM('ER18'!$D$19:$D$20)*-1</f>
        <v>409090.66</v>
      </c>
      <c r="F129" s="87">
        <f>+D129/D8</f>
        <v>6493.5025396825395</v>
      </c>
      <c r="H129" s="87">
        <f>SUM('ER18'!$H$19:$H$20)*-1</f>
        <v>415019.8899999999</v>
      </c>
      <c r="J129" s="87">
        <f>+H129/H8</f>
        <v>6103.2336764705869</v>
      </c>
      <c r="L129" s="87">
        <f>SUM('ER18'!$AB$19:$AB$20)*-1</f>
        <v>396161.57000000007</v>
      </c>
      <c r="N129" s="87">
        <f>+L129/L8</f>
        <v>5426.8708219178088</v>
      </c>
      <c r="P129" s="87">
        <f>SUM('ER18'!$AB$19:$AB$20)*-1</f>
        <v>396161.57000000007</v>
      </c>
      <c r="R129" s="87">
        <f>+P129/P8</f>
        <v>5426.8708219178088</v>
      </c>
      <c r="T129" s="87">
        <f>SUM('ER18'!$AB$19:$AB$20)*-1</f>
        <v>396161.57000000007</v>
      </c>
      <c r="V129" s="87">
        <f>+T129/T8</f>
        <v>5502.2440277777787</v>
      </c>
      <c r="X129" s="87">
        <f>SUM('ER18'!$AB$19:$AB$20)*-1</f>
        <v>396161.57000000007</v>
      </c>
      <c r="Z129" s="87">
        <f>+X129/X8</f>
        <v>5741.4720289855086</v>
      </c>
      <c r="AB129" s="87">
        <f>SUM('ER18'!$AB$19:$AB$20)*-1</f>
        <v>396161.57000000007</v>
      </c>
      <c r="AD129" s="87">
        <f>+AB129/AB8</f>
        <v>5825.9054411764719</v>
      </c>
      <c r="AF129" s="87">
        <f>SUM('ER18'!AF19:AF20)*-1</f>
        <v>445429.84</v>
      </c>
      <c r="AG129" s="92">
        <f>+AF129/$AF$123</f>
        <v>1.8723865322130426E-2</v>
      </c>
      <c r="AH129" s="87">
        <f>+AF129/AF8</f>
        <v>6550.4388235294118</v>
      </c>
      <c r="AJ129" s="115">
        <f>SUM('ER18'!AJ19:AJ20)*-1</f>
        <v>406976.64</v>
      </c>
      <c r="AK129" s="92">
        <f>+AJ129/$AF$123</f>
        <v>1.7107465895444179E-2</v>
      </c>
      <c r="AL129" s="87">
        <f>+AJ129/AJ8</f>
        <v>5898.2121739130434</v>
      </c>
      <c r="AN129" s="87">
        <f>SUM('ER18'!AN19:AN20)*-1</f>
        <v>0</v>
      </c>
      <c r="AO129" s="92">
        <f>+AN129/$AF$123</f>
        <v>0</v>
      </c>
      <c r="AR129" s="87">
        <f>SUM('ER18'!AR19:AR20)*-1</f>
        <v>0</v>
      </c>
      <c r="AS129" s="92">
        <f>+AR129/$AF$123</f>
        <v>0</v>
      </c>
      <c r="AV129" s="87">
        <f>SUM('ER18'!AV19:AV20)*-1</f>
        <v>0</v>
      </c>
      <c r="AW129" s="92">
        <f>+AV129/$AF$123</f>
        <v>0</v>
      </c>
      <c r="AZ129" s="87">
        <f>SUM('ER18'!AZ19:AZ20)*-1</f>
        <v>0</v>
      </c>
      <c r="BA129" s="92">
        <f>+AZ129/$AF$123</f>
        <v>0</v>
      </c>
      <c r="BD129" s="87">
        <f>SUM('ER18'!BD19:BD20)*-1</f>
        <v>415269.31583333336</v>
      </c>
      <c r="BE129" s="92">
        <f>+BD129/$AF$123</f>
        <v>1.7456052657084171E-2</v>
      </c>
      <c r="BF129" s="125">
        <f>+BD129/$BD$8</f>
        <v>6040.2809575757583</v>
      </c>
    </row>
    <row r="130" spans="1:58" ht="22.5" x14ac:dyDescent="0.25">
      <c r="A130" s="62" t="s">
        <v>12</v>
      </c>
      <c r="B130" s="88"/>
      <c r="D130" s="89">
        <f>SUM(D132:D133)</f>
        <v>1126562.5690969999</v>
      </c>
      <c r="E130" s="102">
        <f>+D130/$AB$123</f>
        <v>4.7719020643080277E-2</v>
      </c>
      <c r="H130" s="89">
        <f>SUM(H132:H133)</f>
        <v>1080535.474188</v>
      </c>
      <c r="I130" s="102">
        <f>+H130/$AB$123</f>
        <v>4.5769401551915112E-2</v>
      </c>
      <c r="L130" s="89">
        <f>SUM(L132:L133)</f>
        <v>1287698.0817100001</v>
      </c>
      <c r="M130" s="102">
        <f>+L130/$AB$123</f>
        <v>5.4544410606885307E-2</v>
      </c>
      <c r="P130" s="89">
        <f>SUM(P132:P133)</f>
        <v>1079581.1849429999</v>
      </c>
      <c r="Q130" s="102">
        <f>+P130/$AB$123</f>
        <v>4.5728979697478626E-2</v>
      </c>
      <c r="T130" s="89">
        <f>SUM(T132:T133)</f>
        <v>1146657.434446</v>
      </c>
      <c r="U130" s="102">
        <f>+T130/$AB$123</f>
        <v>4.8570200436118732E-2</v>
      </c>
      <c r="X130" s="89">
        <f>SUM(X132:X133)</f>
        <v>1059327.217378</v>
      </c>
      <c r="Y130" s="102">
        <f>+X130/$AB$123</f>
        <v>4.4871060641004733E-2</v>
      </c>
      <c r="AB130" s="89">
        <f>SUM(AB132:AB133)</f>
        <v>1167987.757579</v>
      </c>
      <c r="AC130" s="102">
        <f>+AB130/$AB$123</f>
        <v>4.9473711841369013E-2</v>
      </c>
      <c r="AF130" s="89">
        <f>SUM(AF132:AF133)</f>
        <v>1119656.14075</v>
      </c>
      <c r="AG130" s="102">
        <f>+AF130/$AF$123</f>
        <v>4.7065303901730755E-2</v>
      </c>
      <c r="AJ130" s="113">
        <f>SUM(AJ132:AJ133)</f>
        <v>1156588.5747240002</v>
      </c>
      <c r="AK130" s="102">
        <f>+AJ130/$AF$123</f>
        <v>4.8617777170579683E-2</v>
      </c>
      <c r="AN130" s="89">
        <f>SUM(AN132:AN133)</f>
        <v>0</v>
      </c>
      <c r="AO130" s="102">
        <f>+AN130/$AF$123</f>
        <v>0</v>
      </c>
      <c r="AR130" s="89">
        <f>SUM(AR132:AR133)</f>
        <v>0</v>
      </c>
      <c r="AS130" s="102">
        <f>+AR130/$AF$123</f>
        <v>0</v>
      </c>
      <c r="AV130" s="89">
        <f>SUM(AV132:AV133)</f>
        <v>0</v>
      </c>
      <c r="AW130" s="102">
        <f>+AV130/$AF$123</f>
        <v>0</v>
      </c>
      <c r="AZ130" s="89">
        <f>SUM(AZ132:AZ133)</f>
        <v>0</v>
      </c>
      <c r="BA130" s="102">
        <f>+AZ130/$AF$123</f>
        <v>0</v>
      </c>
      <c r="BD130" s="89">
        <f>SUM(BD132:BD133)</f>
        <v>1119082.7535598334</v>
      </c>
      <c r="BE130" s="102">
        <f>+BD130/$AF$123</f>
        <v>4.7041201285421726E-2</v>
      </c>
    </row>
    <row r="131" spans="1:58" x14ac:dyDescent="0.25">
      <c r="A131" s="62" t="s">
        <v>126</v>
      </c>
    </row>
    <row r="132" spans="1:58" x14ac:dyDescent="0.25">
      <c r="A132" s="63" t="s">
        <v>13</v>
      </c>
      <c r="D132" s="87">
        <f>(D24+D25+D26+D29+D30+D31+D35+D36+D38+D39+D40+D41+D43+D44+D45+D46+D47+D48+D49+D32+D27+D28+D34+D42)*-1</f>
        <v>873661.93909699994</v>
      </c>
      <c r="E132" s="86">
        <f>D132/D7</f>
        <v>1.1320281109415147</v>
      </c>
      <c r="F132" s="87">
        <f>+D132/D8</f>
        <v>13867.649826936507</v>
      </c>
      <c r="H132" s="87">
        <f>(H24+H25+H26+H29+H30+H31+H35+H36+H38+H39+H40+H41+H43+H44+H45+H46+H47+H48+H49+H32+H27+H28+H34+H42)*-1</f>
        <v>711862.89698799991</v>
      </c>
      <c r="I132" s="86">
        <f>H132/H7</f>
        <v>0.98373606610542363</v>
      </c>
      <c r="J132" s="87">
        <f>+H132/H8</f>
        <v>10468.572014529411</v>
      </c>
      <c r="L132" s="87">
        <f>(L24+L25+L26+L29+L30+L31+L35+L36+L38+L39+L40+L41+L43+L44+L45+L46+L47+L48+L49+L32+L27+L28+L34+L42)*-1</f>
        <v>919025.50451</v>
      </c>
      <c r="M132" s="86">
        <f>L132/L7</f>
        <v>1.0149572321813134</v>
      </c>
      <c r="N132" s="87">
        <f>+L132/L8</f>
        <v>12589.390472739726</v>
      </c>
      <c r="P132" s="87">
        <f>(P24+P25+P26+P29+P30+P31+P35+P36+P38+P39+P40+P41+P43+P44+P45+P46+P47+P48+P49+P32+P27+P28+P34+P42)*-1</f>
        <v>710908.60774299991</v>
      </c>
      <c r="Q132" s="86">
        <f>P132/P7</f>
        <v>0.81433166017981273</v>
      </c>
      <c r="R132" s="87">
        <f>+P132/P8</f>
        <v>9738.4740786712318</v>
      </c>
      <c r="T132" s="87">
        <f>(T24+T25+T26+T29+T30+T31+T35+T36+T38+T39+T40+T41+T43+T44+T45+T46+T47+T48+T49+T32+T27+T28+T34+T42)*-1</f>
        <v>777984.85724599997</v>
      </c>
      <c r="U132" s="86">
        <f>T132/T7</f>
        <v>0.89973106682194459</v>
      </c>
      <c r="V132" s="87">
        <f>+T132/T8</f>
        <v>10805.345239527778</v>
      </c>
      <c r="X132" s="87">
        <f>(X24+X25+X26+X29+X30+X31+X35+X36+X38+X39+X40+X41+X43+X44+X45+X46+X47+X48+X49+X32+X27+X28+X34+X42)*-1</f>
        <v>690654.64017800009</v>
      </c>
      <c r="Y132" s="86">
        <f>X132/X7</f>
        <v>0.77958942183106628</v>
      </c>
      <c r="Z132" s="87">
        <f>+X132/X8</f>
        <v>10009.487538811596</v>
      </c>
      <c r="AB132" s="87">
        <f>(AB24+AB25+AB26+AB29+AB30+AB31+AB35+AB36+AB38+AB39+AB40+AB41+AB43+AB44+AB45+AB46+AB47+AB48+AB49+AB32+AB27+AB28+AB34+AB42)*-1</f>
        <v>799315.18037900003</v>
      </c>
      <c r="AC132" s="86">
        <f>AB132/AB7</f>
        <v>0.96086896147941925</v>
      </c>
      <c r="AD132" s="87">
        <f>+AB132/AB8</f>
        <v>11754.635005573529</v>
      </c>
      <c r="AF132" s="87">
        <f>(AF24+AF25+AF26+AF29+AF30+AF31+AF35+AF36+AF38+AF39+AF40+AF41+AF43+AF44+AF45+AF46+AF47+AF48+AF49+AF32+AF27+AF28+AF34+AF42)*-1</f>
        <v>795126.81075100007</v>
      </c>
      <c r="AG132" s="92">
        <f>+AF132/$AF$123</f>
        <v>3.3423551773084648E-2</v>
      </c>
      <c r="AH132" s="86">
        <f>AF132/AF7</f>
        <v>0.94250097583789205</v>
      </c>
      <c r="AJ132" s="87">
        <f>(AJ24+AJ25+AJ26+AJ29+AJ30+AJ31+AJ35+AJ36+AJ38+AJ39+AJ40+AJ41+AJ43+AJ44+AJ45+AJ46+AJ47+AJ48+AJ49+AJ32+AJ27+AJ28+AJ34+AJ42)*-1</f>
        <v>818391.54472500016</v>
      </c>
      <c r="AK132" s="92">
        <f>+AJ132/$AF$123</f>
        <v>3.4401496460590021E-2</v>
      </c>
      <c r="AN132" s="87">
        <f>(AN24+AN25+AN26+AN29+AN30+AN31+AN35+AN36+AN38+AN40+AN41+AN43+AN44+AN45+AN46+AN47+AN48+AN49+AN32+AN27+AN28+AN34+AN42)*-1</f>
        <v>0</v>
      </c>
      <c r="AO132" s="92">
        <f>+AN132/$AF$123</f>
        <v>0</v>
      </c>
      <c r="AR132" s="87">
        <f>(AR24+AR25+AR26+AR29+AR30+AR31+AR35+AR36+AR38+AR40+AR41+AR43+AR44+AR45+AR46+AR47+AR48+AR49+AR32+AR27+AR28+AR34+AR42)*-1</f>
        <v>0</v>
      </c>
      <c r="AS132" s="92">
        <f>+AR132/$AF$123</f>
        <v>0</v>
      </c>
      <c r="AV132" s="87">
        <f>(AV24+AV25+AV26+AV29+AV30+AV31+AV35+AV36+AV38+AV40+AV41+AV43+AV44+AV45+AV46+AV47+AV48+AV49+AV32+AV27+AV28+AV34+AV42)*-1</f>
        <v>0</v>
      </c>
      <c r="AW132" s="92">
        <f>+AV132/$AF$123</f>
        <v>0</v>
      </c>
      <c r="AZ132" s="87">
        <f>(AZ24+AZ25+AZ26+AZ29+AZ30+AZ31+AZ35+AZ36+AZ38+AZ40+AZ41+AZ43+AZ44+AZ45+AZ46+AZ47+AZ48+AZ49+AZ32+AZ27+AZ28+AZ34+AZ42)*-1</f>
        <v>0</v>
      </c>
      <c r="BA132" s="92">
        <f>+AZ132/$AF$123</f>
        <v>0</v>
      </c>
      <c r="BD132" s="87">
        <f>(BD24+BD25+BD26+BD29+BD30+BD31+BD35+BD36+BD38+BD40+BD41+BD43+BD44+BD45+BD46+BD47+BD48+BD49+BD32+BD27+BD28+BD34+BD42)*-1</f>
        <v>808785.97783508326</v>
      </c>
      <c r="BE132" s="92">
        <f>+BD132/$AF$123</f>
        <v>3.399772166905491E-2</v>
      </c>
      <c r="BF132" s="125">
        <f>+BD132/$BD$8</f>
        <v>11764.15967760121</v>
      </c>
    </row>
    <row r="133" spans="1:58" x14ac:dyDescent="0.25">
      <c r="A133" s="63" t="s">
        <v>14</v>
      </c>
      <c r="D133" s="87">
        <f>('ER18'!$D$33+'ER18'!$D$37)*-1</f>
        <v>252900.62999999995</v>
      </c>
      <c r="F133" s="87">
        <f>+D133/D8</f>
        <v>4014.2957142857135</v>
      </c>
      <c r="H133" s="87">
        <f>('ER18'!$AB$33+'ER18'!$AB$37)*-1</f>
        <v>368672.5772</v>
      </c>
      <c r="J133" s="87">
        <f>+H133/H8</f>
        <v>5421.6555470588237</v>
      </c>
      <c r="L133" s="87">
        <f>('ER18'!$AB$33+'ER18'!$AB$37)*-1</f>
        <v>368672.5772</v>
      </c>
      <c r="N133" s="87">
        <f>+L133/L8</f>
        <v>5050.3092767123289</v>
      </c>
      <c r="P133" s="87">
        <f>('ER18'!$AB$33+'ER18'!$AB$37)*-1</f>
        <v>368672.5772</v>
      </c>
      <c r="R133" s="87">
        <f>+P133/P8</f>
        <v>5050.3092767123289</v>
      </c>
      <c r="T133" s="87">
        <f>('ER18'!$AB$33+'ER18'!$AB$37)*-1</f>
        <v>368672.5772</v>
      </c>
      <c r="V133" s="87">
        <f>+T133/T8</f>
        <v>5120.452461111111</v>
      </c>
      <c r="X133" s="87">
        <f>('ER18'!$AB$33+'ER18'!$AB$37)*-1</f>
        <v>368672.5772</v>
      </c>
      <c r="Z133" s="87">
        <f>+X133/X8</f>
        <v>5343.0808289855077</v>
      </c>
      <c r="AB133" s="87">
        <f>('ER18'!$AB$33+'ER18'!$AB$37)*-1</f>
        <v>368672.5772</v>
      </c>
      <c r="AD133" s="87">
        <f>+AB133/AB8</f>
        <v>5421.6555470588237</v>
      </c>
      <c r="AF133" s="87">
        <f>(AF33+AF37)*-1</f>
        <v>324529.32999900001</v>
      </c>
      <c r="AG133" s="92">
        <f>+AF133/$AF$123</f>
        <v>1.3641752128646113E-2</v>
      </c>
      <c r="AJ133" s="87">
        <f>(AJ33+AJ37)*-1</f>
        <v>338197.02999900002</v>
      </c>
      <c r="AK133" s="92">
        <f>+AJ133/$AF$123</f>
        <v>1.4216280709989657E-2</v>
      </c>
      <c r="AN133" s="87">
        <f>(AN33+AN37)*-1</f>
        <v>0</v>
      </c>
      <c r="AO133" s="92">
        <f>+AN133/$AF$123</f>
        <v>0</v>
      </c>
      <c r="AR133" s="87">
        <f>(AR33+AR37)*-1</f>
        <v>0</v>
      </c>
      <c r="AS133" s="92">
        <f>+AR133/$AF$123</f>
        <v>0</v>
      </c>
      <c r="AV133" s="87">
        <f>(AV33+AV37)*-1</f>
        <v>0</v>
      </c>
      <c r="AW133" s="92">
        <f>+AV133/$AF$123</f>
        <v>0</v>
      </c>
      <c r="AZ133" s="87">
        <f>(AZ33+AZ37)*-1</f>
        <v>0</v>
      </c>
      <c r="BA133" s="92">
        <f>+AZ133/$AF$123</f>
        <v>0</v>
      </c>
      <c r="BD133" s="87">
        <f>(BD33+BD37)*-1</f>
        <v>310296.77572475007</v>
      </c>
      <c r="BE133" s="92">
        <f>+BD133/$AF$123</f>
        <v>1.304347961636681E-2</v>
      </c>
      <c r="BF133" s="125">
        <f>+BD133/$BD$8</f>
        <v>4513.4076469054553</v>
      </c>
    </row>
    <row r="134" spans="1:58" ht="22.5" x14ac:dyDescent="0.25">
      <c r="A134" s="62" t="s">
        <v>15</v>
      </c>
      <c r="B134" s="88"/>
      <c r="D134" s="89">
        <f>SUM(D136)</f>
        <v>310736.93</v>
      </c>
      <c r="E134" s="102">
        <f>+D134/$AB$123</f>
        <v>1.3162217868753507E-2</v>
      </c>
      <c r="H134" s="89">
        <f>SUM(H136)</f>
        <v>170003.66999999998</v>
      </c>
      <c r="I134" s="102">
        <f>+H134/$AB$123</f>
        <v>7.2010280304554541E-3</v>
      </c>
      <c r="L134" s="89">
        <f>SUM(L136)</f>
        <v>170003.66999999998</v>
      </c>
      <c r="M134" s="102">
        <f>+L134/$AB$123</f>
        <v>7.2010280304554541E-3</v>
      </c>
      <c r="P134" s="89">
        <f>SUM(P136)</f>
        <v>170003.66999999998</v>
      </c>
      <c r="Q134" s="102">
        <f>+P134/$AB$123</f>
        <v>7.2010280304554541E-3</v>
      </c>
      <c r="T134" s="89">
        <f>SUM(T136)</f>
        <v>170003.66999999998</v>
      </c>
      <c r="U134" s="102">
        <f>+T134/$AB$123</f>
        <v>7.2010280304554541E-3</v>
      </c>
      <c r="X134" s="89">
        <f>SUM(X136)</f>
        <v>170003.66999999998</v>
      </c>
      <c r="Y134" s="102">
        <f>+X134/$AB$123</f>
        <v>7.2010280304554541E-3</v>
      </c>
      <c r="AB134" s="89">
        <f>SUM(AB136)</f>
        <v>170003.66999999998</v>
      </c>
      <c r="AC134" s="102">
        <f>+AB134/$AB$123</f>
        <v>7.2010280304554541E-3</v>
      </c>
      <c r="AF134" s="89">
        <f>SUM(AF136)</f>
        <v>148715.25</v>
      </c>
      <c r="AG134" s="102">
        <f>+AF134/$AF$123</f>
        <v>6.2513196519275779E-3</v>
      </c>
      <c r="AJ134" s="89">
        <f>SUM(AJ136)</f>
        <v>317484.33</v>
      </c>
      <c r="AK134" s="102">
        <f>+AJ134/$AF$123</f>
        <v>1.334561204253135E-2</v>
      </c>
      <c r="AN134" s="89">
        <f>SUM(AN136)</f>
        <v>0</v>
      </c>
      <c r="AO134" s="102">
        <f>+AN134/$AF$123</f>
        <v>0</v>
      </c>
      <c r="AR134" s="89">
        <f>SUM(AR136)</f>
        <v>0</v>
      </c>
      <c r="AS134" s="102">
        <f>+AR134/$AF$123</f>
        <v>0</v>
      </c>
      <c r="AV134" s="89">
        <f>SUM(AV136)</f>
        <v>0</v>
      </c>
      <c r="AW134" s="102">
        <f>+AV134/$AF$123</f>
        <v>0</v>
      </c>
      <c r="AZ134" s="89">
        <f>SUM(AZ136)</f>
        <v>0</v>
      </c>
      <c r="BA134" s="102">
        <f>+AZ134/$AF$123</f>
        <v>0</v>
      </c>
      <c r="BD134" s="89">
        <f>SUM(BD136)</f>
        <v>216109.21416666667</v>
      </c>
      <c r="BE134" s="102">
        <f>+BD134/$AF$123</f>
        <v>9.0842585241440212E-3</v>
      </c>
    </row>
    <row r="135" spans="1:58" x14ac:dyDescent="0.25">
      <c r="A135" s="62" t="s">
        <v>136</v>
      </c>
    </row>
    <row r="136" spans="1:58" x14ac:dyDescent="0.25">
      <c r="A136" s="63" t="s">
        <v>16</v>
      </c>
      <c r="D136" s="87">
        <f>'ER18'!$D$60*-1</f>
        <v>310736.93</v>
      </c>
      <c r="H136" s="87">
        <f>'ER18'!$AB$60*-1</f>
        <v>170003.66999999998</v>
      </c>
      <c r="L136" s="87">
        <f>'ER18'!$AB$60*-1</f>
        <v>170003.66999999998</v>
      </c>
      <c r="P136" s="87">
        <f>'ER18'!$AB$60*-1</f>
        <v>170003.66999999998</v>
      </c>
      <c r="T136" s="87">
        <f>'ER18'!$AB$60*-1</f>
        <v>170003.66999999998</v>
      </c>
      <c r="X136" s="87">
        <f>'ER18'!$AB$60*-1</f>
        <v>170003.66999999998</v>
      </c>
      <c r="AB136" s="87">
        <f>'ER18'!$AB$60*-1</f>
        <v>170003.66999999998</v>
      </c>
      <c r="AF136" s="87">
        <f>AF60*-1</f>
        <v>148715.25</v>
      </c>
      <c r="AJ136" s="87">
        <f>AJ60*-1</f>
        <v>317484.33</v>
      </c>
      <c r="AN136" s="87">
        <f>AN60*-1</f>
        <v>0</v>
      </c>
      <c r="AR136" s="87">
        <f>AR60*-1</f>
        <v>0</v>
      </c>
      <c r="AV136" s="87">
        <f>AV60*-1</f>
        <v>0</v>
      </c>
      <c r="AZ136" s="87">
        <f>AZ60*-1</f>
        <v>0</v>
      </c>
      <c r="BD136" s="87">
        <f>BD60*-1</f>
        <v>216109.21416666667</v>
      </c>
      <c r="BF136" s="125">
        <f>+BD136/$BD$8</f>
        <v>3143.4067515151514</v>
      </c>
    </row>
    <row r="137" spans="1:58" ht="22.5" x14ac:dyDescent="0.25">
      <c r="A137" s="62" t="s">
        <v>8</v>
      </c>
      <c r="B137" s="88"/>
      <c r="D137" s="90">
        <f>SUM(D139:D142)</f>
        <v>5611915.7960000178</v>
      </c>
      <c r="E137" s="102">
        <f>+D137/$AB$123</f>
        <v>0.23770994444738672</v>
      </c>
      <c r="H137" s="90">
        <f>SUM(H139:H142)</f>
        <v>6738604.5330549963</v>
      </c>
      <c r="I137" s="102">
        <f>+H137/$AB$123</f>
        <v>0.28543430932216474</v>
      </c>
      <c r="L137" s="90">
        <f>SUM(L139:L142)</f>
        <v>6738604.5330549963</v>
      </c>
      <c r="M137" s="102">
        <f>+L137/$AB$123</f>
        <v>0.28543430932216474</v>
      </c>
      <c r="P137" s="90">
        <f>SUM(P139:P142)</f>
        <v>6738604.5330549963</v>
      </c>
      <c r="Q137" s="102">
        <f>+P137/$AB$123</f>
        <v>0.28543430932216474</v>
      </c>
      <c r="T137" s="90">
        <f>SUM(T139:T142)</f>
        <v>6738604.5330549963</v>
      </c>
      <c r="U137" s="102">
        <f>+T137/$AB$123</f>
        <v>0.28543430932216474</v>
      </c>
      <c r="X137" s="90">
        <f>SUM(X139:X142)</f>
        <v>6738604.5330549963</v>
      </c>
      <c r="Y137" s="102">
        <f>+X137/$AB$123</f>
        <v>0.28543430932216474</v>
      </c>
      <c r="AB137" s="90">
        <f>SUM(AB139:AB142)</f>
        <v>6738604.5330549963</v>
      </c>
      <c r="AC137" s="102">
        <f>+AB137/$AB$123</f>
        <v>0.28543430932216474</v>
      </c>
      <c r="AF137" s="90">
        <f>SUM(AF139:AF142)</f>
        <v>6342075.4103549961</v>
      </c>
      <c r="AG137" s="102">
        <f>+AF137/$AF$123</f>
        <v>0.26659230070055923</v>
      </c>
      <c r="AJ137" s="90">
        <f>SUM(AJ139:AJ142)</f>
        <v>6968142.3418479962</v>
      </c>
      <c r="AK137" s="102">
        <f>+AJ137/$AF$123</f>
        <v>0.29290933619129866</v>
      </c>
      <c r="AN137" s="90">
        <f>SUM(AN139:AN142)</f>
        <v>0</v>
      </c>
      <c r="AO137" s="102">
        <f>+AN137/$AF$123</f>
        <v>0</v>
      </c>
      <c r="AR137" s="90">
        <f>SUM(AR139:AR142)</f>
        <v>0</v>
      </c>
      <c r="AS137" s="102">
        <f>+AR137/$AF$123</f>
        <v>0</v>
      </c>
      <c r="AV137" s="90">
        <f>SUM(AV139:AV142)</f>
        <v>0</v>
      </c>
      <c r="AW137" s="102">
        <f>+AV137/$AF$123</f>
        <v>0</v>
      </c>
      <c r="AZ137" s="90">
        <f>SUM(AZ139:AZ142)</f>
        <v>0</v>
      </c>
      <c r="BA137" s="102">
        <f>+AZ137/$AF$123</f>
        <v>0</v>
      </c>
      <c r="BD137" s="90">
        <f>SUM(BD139:BD142)</f>
        <v>6333186.828184667</v>
      </c>
      <c r="BE137" s="102">
        <f>+BD137/$AF$123</f>
        <v>0.26621866471904992</v>
      </c>
    </row>
    <row r="138" spans="1:58" x14ac:dyDescent="0.25">
      <c r="A138" s="62" t="s">
        <v>137</v>
      </c>
    </row>
    <row r="139" spans="1:58" x14ac:dyDescent="0.25">
      <c r="A139" s="63" t="s">
        <v>9</v>
      </c>
      <c r="D139" s="87">
        <f>('ER18'!$D$61+'ER18'!$D$94)*-1</f>
        <v>4061663.3600000176</v>
      </c>
      <c r="F139" s="87">
        <f>+D139/$AB$5</f>
        <v>56411.991111111354</v>
      </c>
      <c r="H139" s="87">
        <f>('ER18'!$AB$61+'ER18'!$AB$94)*-1</f>
        <v>4849741.389999995</v>
      </c>
      <c r="J139" s="87">
        <f>+H139/$AB$5</f>
        <v>67357.519305555485</v>
      </c>
      <c r="L139" s="87">
        <f>('ER18'!$AB$61+'ER18'!$AB$94)*-1</f>
        <v>4849741.389999995</v>
      </c>
      <c r="N139" s="87">
        <f>+L139/$AB$5</f>
        <v>67357.519305555485</v>
      </c>
      <c r="P139" s="87">
        <f>('ER18'!$AB$61+'ER18'!$AB$94)*-1</f>
        <v>4849741.389999995</v>
      </c>
      <c r="R139" s="87">
        <f>+P139/$AB$5</f>
        <v>67357.519305555485</v>
      </c>
      <c r="T139" s="87">
        <f>('ER18'!$AB$61+'ER18'!$AB$94)*-1</f>
        <v>4849741.389999995</v>
      </c>
      <c r="V139" s="87">
        <f>+T139/$AB$5</f>
        <v>67357.519305555485</v>
      </c>
      <c r="X139" s="87">
        <f>('ER18'!$AB$61+'ER18'!$AB$94)*-1</f>
        <v>4849741.389999995</v>
      </c>
      <c r="Z139" s="87">
        <f>+X139/$AB$5</f>
        <v>67357.519305555485</v>
      </c>
      <c r="AB139" s="87">
        <f>('ER18'!$AB$61+'ER18'!$AB$94)*-1</f>
        <v>4849741.389999995</v>
      </c>
      <c r="AD139" s="87">
        <f>+AB139/$AB$5</f>
        <v>67357.519305555485</v>
      </c>
      <c r="AF139" s="87">
        <f>(AF61+AF94)*-1</f>
        <v>4868078.549999997</v>
      </c>
      <c r="AJ139" s="87">
        <f>(AJ61+AJ94)*-1</f>
        <v>5034552.7799999965</v>
      </c>
      <c r="AN139" s="87">
        <f>(AN61+AN94)*-1</f>
        <v>0</v>
      </c>
      <c r="AR139" s="87">
        <f>(AR61+AR94)*-1</f>
        <v>0</v>
      </c>
      <c r="AV139" s="87">
        <f>(AV61+AV94)*-1</f>
        <v>0</v>
      </c>
      <c r="AZ139" s="87">
        <f>(AZ61+AZ94)*-1</f>
        <v>0</v>
      </c>
      <c r="BD139" s="87">
        <f>(BD61+BD94)*-1</f>
        <v>4717730.623333334</v>
      </c>
      <c r="BF139" s="125">
        <f>+BD139/$BD$8</f>
        <v>68621.536339393948</v>
      </c>
    </row>
    <row r="140" spans="1:58" x14ac:dyDescent="0.25">
      <c r="A140" s="63" t="s">
        <v>10</v>
      </c>
      <c r="D140" s="103">
        <f>'ER18'!$D$66*-1</f>
        <v>643717.08600000001</v>
      </c>
      <c r="H140" s="103">
        <f>'ER18'!$AB$66*-1</f>
        <v>889211.81</v>
      </c>
      <c r="L140" s="103">
        <f>'ER18'!$AB$66*-1</f>
        <v>889211.81</v>
      </c>
      <c r="P140" s="103">
        <f>'ER18'!$AB$66*-1</f>
        <v>889211.81</v>
      </c>
      <c r="T140" s="103">
        <f>'ER18'!$AB$66*-1</f>
        <v>889211.81</v>
      </c>
      <c r="X140" s="103">
        <f>'ER18'!$AB$66*-1</f>
        <v>889211.81</v>
      </c>
      <c r="AB140" s="103">
        <f>'ER18'!$AB$66*-1</f>
        <v>889211.81</v>
      </c>
      <c r="AF140" s="87">
        <f>'ER18'!$AF$66*-1</f>
        <v>892986.47000000009</v>
      </c>
      <c r="AJ140" s="87">
        <f>'ER18'!$AJ$66*-1</f>
        <v>903299.3</v>
      </c>
      <c r="AN140" s="87">
        <f>'ER18'!$AN$66*-1</f>
        <v>0</v>
      </c>
      <c r="AR140" s="87">
        <f>'ER18'!$AR$66*-1</f>
        <v>0</v>
      </c>
      <c r="AV140" s="87">
        <f>'ER18'!$AV$66*-1</f>
        <v>0</v>
      </c>
      <c r="AZ140" s="87">
        <f>'ER18'!$AZ$66*-1</f>
        <v>0</v>
      </c>
      <c r="BD140" s="87">
        <f>'ER18'!$BD$66*-1</f>
        <v>904849.77966666687</v>
      </c>
      <c r="BF140" s="125">
        <f>+BD140/$BD$8</f>
        <v>13161.451340606063</v>
      </c>
    </row>
    <row r="141" spans="1:58" x14ac:dyDescent="0.25">
      <c r="A141" s="63" t="s">
        <v>11</v>
      </c>
      <c r="D141" s="87">
        <f>('ER18'!$D$67+'ER18'!$D$68)*-1</f>
        <v>771529.40999999992</v>
      </c>
      <c r="F141" s="87">
        <f>+D141/$AB$8</f>
        <v>11346.020735294116</v>
      </c>
      <c r="H141" s="87">
        <f>('ER18'!$AB$67+'ER18'!$AB$68)*-1</f>
        <v>852622.56</v>
      </c>
      <c r="J141" s="87">
        <f>+H141/$AB$8</f>
        <v>12538.56705882353</v>
      </c>
      <c r="L141" s="87">
        <f>('ER18'!$AB$67+'ER18'!$AB$68)*-1</f>
        <v>852622.56</v>
      </c>
      <c r="N141" s="87">
        <f>+L141/$AB$8</f>
        <v>12538.56705882353</v>
      </c>
      <c r="P141" s="87">
        <f>('ER18'!$AB$67+'ER18'!$AB$68)*-1</f>
        <v>852622.56</v>
      </c>
      <c r="R141" s="87">
        <f>+P141/$AB$8</f>
        <v>12538.56705882353</v>
      </c>
      <c r="T141" s="87">
        <f>('ER18'!$AB$67+'ER18'!$AB$68)*-1</f>
        <v>852622.56</v>
      </c>
      <c r="V141" s="87">
        <f>+T141/$AB$8</f>
        <v>12538.56705882353</v>
      </c>
      <c r="X141" s="87">
        <f>('ER18'!$AB$67+'ER18'!$AB$68)*-1</f>
        <v>852622.56</v>
      </c>
      <c r="Z141" s="87">
        <f>+X141/$AB$8</f>
        <v>12538.56705882353</v>
      </c>
      <c r="AB141" s="87">
        <f>('ER18'!$AB$67+'ER18'!$AB$68)*-1</f>
        <v>852622.56</v>
      </c>
      <c r="AD141" s="87">
        <f>+AB141/$AB$8</f>
        <v>12538.56705882353</v>
      </c>
      <c r="AF141" s="87">
        <f>(AF67+AF68)*-1</f>
        <v>431751.8</v>
      </c>
      <c r="AH141" s="87">
        <f>+AF141/$AB$8</f>
        <v>6349.2911764705877</v>
      </c>
      <c r="AJ141" s="87">
        <f>(AJ67+AJ68)*-1</f>
        <v>880998.59</v>
      </c>
      <c r="AL141" s="87">
        <f>+AJ141/$AB$8</f>
        <v>12955.861617647059</v>
      </c>
      <c r="AN141" s="87">
        <f>(AN67+AN68)*-1</f>
        <v>0</v>
      </c>
      <c r="AR141" s="87">
        <f>(AR67+AR68)*-1</f>
        <v>0</v>
      </c>
      <c r="AV141" s="87">
        <f>(AV67+AV68)*-1</f>
        <v>0</v>
      </c>
      <c r="AZ141" s="87">
        <f>(AZ67+AZ68)*-1</f>
        <v>0</v>
      </c>
      <c r="BD141" s="87">
        <f>(BD67+BD68)*-1</f>
        <v>588807.07166666666</v>
      </c>
      <c r="BF141" s="125">
        <f>+BD141/$BD$8</f>
        <v>8564.4664969696969</v>
      </c>
    </row>
    <row r="142" spans="1:58" x14ac:dyDescent="0.25">
      <c r="A142" s="63" t="s">
        <v>7</v>
      </c>
      <c r="D142" s="87">
        <f>('ER18'!$D$63+'ER18'!$D$64+'ER18'!$D$65+'ER18'!$D$69+'ER18'!$D$70+'ER18'!$D$62)*-1</f>
        <v>135005.94</v>
      </c>
      <c r="H142" s="87">
        <f>('ER18'!$AB$63+'ER18'!$AB$64+'ER18'!$AB$65+'ER18'!$AB$69+'ER18'!$AB$70+'ER18'!$AB$62)*-1</f>
        <v>147028.773055</v>
      </c>
      <c r="L142" s="87">
        <f>('ER18'!$AB$63+'ER18'!$AB$64+'ER18'!$AB$65+'ER18'!$AB$69+'ER18'!$AB$70+'ER18'!$AB$62)*-1</f>
        <v>147028.773055</v>
      </c>
      <c r="P142" s="87">
        <f>('ER18'!$AB$63+'ER18'!$AB$64+'ER18'!$AB$65+'ER18'!$AB$69+'ER18'!$AB$70+'ER18'!$AB$62)*-1</f>
        <v>147028.773055</v>
      </c>
      <c r="T142" s="87">
        <f>('ER18'!$AB$63+'ER18'!$AB$64+'ER18'!$AB$65+'ER18'!$AB$69+'ER18'!$AB$70+'ER18'!$AB$62)*-1</f>
        <v>147028.773055</v>
      </c>
      <c r="X142" s="87">
        <f>('ER18'!$AB$63+'ER18'!$AB$64+'ER18'!$AB$65+'ER18'!$AB$69+'ER18'!$AB$70+'ER18'!$AB$62)*-1</f>
        <v>147028.773055</v>
      </c>
      <c r="AB142" s="87">
        <f>('ER18'!$AB$63+'ER18'!$AB$64+'ER18'!$AB$65+'ER18'!$AB$69+'ER18'!$AB$70+'ER18'!$AB$62)*-1</f>
        <v>147028.773055</v>
      </c>
      <c r="AF142" s="87">
        <f>(AF63+AF64+AF65+AF69+AF70+AF62)*-1</f>
        <v>149258.59035499999</v>
      </c>
      <c r="AJ142" s="87">
        <f>(AJ63+AJ64+AJ65+AJ69+AJ70+AJ62)*-1</f>
        <v>149291.67184800003</v>
      </c>
      <c r="AN142" s="87">
        <f>(AN63+AN64+AN65+AN69+AN70+AN62)*-1</f>
        <v>0</v>
      </c>
      <c r="AR142" s="87">
        <f>(AR63+AR64+AR65+AR69+AR70+AR62)*-1</f>
        <v>0</v>
      </c>
      <c r="AV142" s="87">
        <f>(AV63+AV64+AV65+AV69+AV70+AV62)*-1</f>
        <v>0</v>
      </c>
      <c r="AZ142" s="87">
        <f>(AZ63+AZ64+AZ65+AZ69+AZ70+AZ62)*-1</f>
        <v>0</v>
      </c>
      <c r="BD142" s="87">
        <f>(BD63+BD64+BD65+BD69+BD70+BD62)*-1</f>
        <v>121799.353518</v>
      </c>
      <c r="BF142" s="125">
        <f>+BD142/$BD$8</f>
        <v>1771.6269602618183</v>
      </c>
    </row>
    <row r="143" spans="1:58" ht="22.5" x14ac:dyDescent="0.25">
      <c r="A143" s="62" t="s">
        <v>17</v>
      </c>
      <c r="B143" s="88"/>
      <c r="D143" s="89">
        <f>SUM(D145:D146)</f>
        <v>954937.44</v>
      </c>
      <c r="E143" s="102">
        <f>+D143/$AB$123</f>
        <v>4.0449310728241185E-2</v>
      </c>
      <c r="H143" s="89">
        <f>SUM(H145:H146)</f>
        <v>1126632.94</v>
      </c>
      <c r="I143" s="102">
        <f>+H143/$AB$123</f>
        <v>4.7722001418995477E-2</v>
      </c>
      <c r="L143" s="89">
        <f>SUM(L145:L146)</f>
        <v>1126632.94</v>
      </c>
      <c r="M143" s="102">
        <f>+L143/$AB$123</f>
        <v>4.7722001418995477E-2</v>
      </c>
      <c r="P143" s="89">
        <f>SUM(P145:P146)</f>
        <v>1126632.94</v>
      </c>
      <c r="Q143" s="102">
        <f>+P143/$AB$123</f>
        <v>4.7722001418995477E-2</v>
      </c>
      <c r="T143" s="89">
        <f>SUM(T145:T146)</f>
        <v>1126632.94</v>
      </c>
      <c r="U143" s="102">
        <f>+T143/$AB$123</f>
        <v>4.7722001418995477E-2</v>
      </c>
      <c r="X143" s="89">
        <f>SUM(X145:X146)</f>
        <v>1126632.94</v>
      </c>
      <c r="Y143" s="102">
        <f>+X143/$AB$123</f>
        <v>4.7722001418995477E-2</v>
      </c>
      <c r="AB143" s="89">
        <f>SUM(AB145:AB146)</f>
        <v>1126632.94</v>
      </c>
      <c r="AC143" s="102">
        <f>+AB143/$AB$123</f>
        <v>4.7722001418995477E-2</v>
      </c>
      <c r="AF143" s="89">
        <f>SUM(AF145:AF146)</f>
        <v>1250053.48</v>
      </c>
      <c r="AG143" s="102">
        <f>+AF143/$AF$123</f>
        <v>5.2546621045820502E-2</v>
      </c>
      <c r="AJ143" s="89">
        <f>SUM(AJ145:AJ146)</f>
        <v>1085697.79</v>
      </c>
      <c r="AK143" s="102">
        <f>+AJ143/$AF$123</f>
        <v>4.5637847703455699E-2</v>
      </c>
      <c r="AN143" s="89">
        <f>SUM(AN145:AN146)</f>
        <v>0</v>
      </c>
      <c r="AO143" s="102">
        <f>+AN143/$AF$123</f>
        <v>0</v>
      </c>
      <c r="AR143" s="89">
        <f>SUM(AR145:AR146)</f>
        <v>0</v>
      </c>
      <c r="AS143" s="102">
        <f>+AR143/$AF$123</f>
        <v>0</v>
      </c>
      <c r="AV143" s="89">
        <f>SUM(AV145:AV146)</f>
        <v>0</v>
      </c>
      <c r="AW143" s="102">
        <f>+AV143/$AF$123</f>
        <v>0</v>
      </c>
      <c r="AZ143" s="89">
        <f>SUM(AZ145:AZ146)</f>
        <v>0</v>
      </c>
      <c r="BA143" s="102">
        <f>+AZ143/$AF$123</f>
        <v>0</v>
      </c>
      <c r="BD143" s="89">
        <f>SUM(BD145:BD146)</f>
        <v>1140652.5532641667</v>
      </c>
      <c r="BE143" s="102">
        <f>+BD143/$AF$123</f>
        <v>4.7947898566163549E-2</v>
      </c>
    </row>
    <row r="144" spans="1:58" x14ac:dyDescent="0.25">
      <c r="A144" s="62" t="s">
        <v>138</v>
      </c>
    </row>
    <row r="145" spans="1:58" x14ac:dyDescent="0.25">
      <c r="A145" s="63" t="s">
        <v>18</v>
      </c>
      <c r="D145" s="87">
        <f>('ER18'!$D$86+'ER18'!$D$87)*-1</f>
        <v>716215.11999999988</v>
      </c>
      <c r="F145" s="87">
        <f>+D145/$AB$8</f>
        <v>10532.575294117645</v>
      </c>
      <c r="H145" s="87">
        <f>('ER18'!$AB$86+'ER18'!$AB$87)*-1</f>
        <v>772787.94</v>
      </c>
      <c r="J145" s="87">
        <f>+H145/$AB$8</f>
        <v>11364.528529411764</v>
      </c>
      <c r="L145" s="87">
        <f>('ER18'!$AB$86+'ER18'!$AB$87)*-1</f>
        <v>772787.94</v>
      </c>
      <c r="N145" s="87">
        <f>+L145/$AB$8</f>
        <v>11364.528529411764</v>
      </c>
      <c r="P145" s="87">
        <f>('ER18'!$AB$86+'ER18'!$AB$87)*-1</f>
        <v>772787.94</v>
      </c>
      <c r="R145" s="87">
        <f>+P145/$AB$8</f>
        <v>11364.528529411764</v>
      </c>
      <c r="T145" s="87">
        <f>('ER18'!$AB$86+'ER18'!$AB$87)*-1</f>
        <v>772787.94</v>
      </c>
      <c r="V145" s="87">
        <f>+T145/$AB$8</f>
        <v>11364.528529411764</v>
      </c>
      <c r="X145" s="87">
        <f>('ER18'!$AB$86+'ER18'!$AB$87)*-1</f>
        <v>772787.94</v>
      </c>
      <c r="Z145" s="87">
        <f>+X145/$AB$8</f>
        <v>11364.528529411764</v>
      </c>
      <c r="AB145" s="87">
        <f>('ER18'!$AB$86+'ER18'!$AB$87)*-1</f>
        <v>772787.94</v>
      </c>
      <c r="AD145" s="87">
        <f>+AB145/$AB$8</f>
        <v>11364.528529411764</v>
      </c>
      <c r="AF145" s="87">
        <f>(AF86+AF87)*-1</f>
        <v>992093.70000000007</v>
      </c>
      <c r="AH145" s="87">
        <f>+AF145/$AB$8</f>
        <v>14589.613235294119</v>
      </c>
      <c r="AJ145" s="87">
        <f>(AJ86+AJ87)*-1</f>
        <v>804144.21</v>
      </c>
      <c r="AL145" s="87">
        <f>+AJ145/$AB$8</f>
        <v>11825.650147058823</v>
      </c>
      <c r="AN145" s="87">
        <f>(AN86+AN87)*-1</f>
        <v>0</v>
      </c>
      <c r="AR145" s="87">
        <f>(AR86+AR87)*-1</f>
        <v>0</v>
      </c>
      <c r="AV145" s="87">
        <f>(AV86+AV87)*-1</f>
        <v>0</v>
      </c>
      <c r="AZ145" s="87">
        <f>(AZ86+AZ87)*-1</f>
        <v>0</v>
      </c>
      <c r="BD145" s="87">
        <f>(BD86+BD87)*-1</f>
        <v>834717.20333333325</v>
      </c>
      <c r="BF145" s="125">
        <f>+BD145/$BD$8</f>
        <v>12141.341139393939</v>
      </c>
    </row>
    <row r="146" spans="1:58" x14ac:dyDescent="0.25">
      <c r="A146" s="63" t="s">
        <v>7</v>
      </c>
      <c r="D146" s="87">
        <f>('ER18'!$D$72+'ER18'!$D$73+'ER18'!$D$74+'ER18'!$D$75+'ER18'!$D$76+'ER18'!$D$77+'ER18'!$D$78+'ER18'!$D$79+'ER18'!$D$80+'ER18'!$D$81+'ER18'!$D$82+'ER18'!$D$83+'ER18'!$D$84+'ER18'!$D$85+'ER18'!$D$88+'ER18'!$D$89+'ER18'!$D$90)*-1</f>
        <v>238722.32</v>
      </c>
      <c r="H146" s="87">
        <f>('ER18'!$AB$72+'ER18'!$AB$73+'ER18'!$AB$74+'ER18'!$AB$75+'ER18'!$AB$76+'ER18'!$AB$77+'ER18'!$AB$78+'ER18'!$AB$79+'ER18'!$AB$80+'ER18'!$AB$81+'ER18'!$AB$82+'ER18'!$AB$83+'ER18'!$AB$84+'ER18'!$AB$85+'ER18'!$AB$88+'ER18'!$AB$89+'ER18'!$AB$90)*-1</f>
        <v>353845</v>
      </c>
      <c r="L146" s="87">
        <f>('ER18'!$AB$72+'ER18'!$AB$73+'ER18'!$AB$74+'ER18'!$AB$75+'ER18'!$AB$76+'ER18'!$AB$77+'ER18'!$AB$78+'ER18'!$AB$79+'ER18'!$AB$80+'ER18'!$AB$81+'ER18'!$AB$82+'ER18'!$AB$83+'ER18'!$AB$84+'ER18'!$AB$85+'ER18'!$AB$88+'ER18'!$AB$89+'ER18'!$AB$90)*-1</f>
        <v>353845</v>
      </c>
      <c r="P146" s="87">
        <f>('ER18'!$AB$72+'ER18'!$AB$73+'ER18'!$AB$74+'ER18'!$AB$75+'ER18'!$AB$76+'ER18'!$AB$77+'ER18'!$AB$78+'ER18'!$AB$79+'ER18'!$AB$80+'ER18'!$AB$81+'ER18'!$AB$82+'ER18'!$AB$83+'ER18'!$AB$84+'ER18'!$AB$85+'ER18'!$AB$88+'ER18'!$AB$89+'ER18'!$AB$90)*-1</f>
        <v>353845</v>
      </c>
      <c r="T146" s="87">
        <f>('ER18'!$AB$72+'ER18'!$AB$73+'ER18'!$AB$74+'ER18'!$AB$75+'ER18'!$AB$76+'ER18'!$AB$77+'ER18'!$AB$78+'ER18'!$AB$79+'ER18'!$AB$80+'ER18'!$AB$81+'ER18'!$AB$82+'ER18'!$AB$83+'ER18'!$AB$84+'ER18'!$AB$85+'ER18'!$AB$88+'ER18'!$AB$89+'ER18'!$AB$90)*-1</f>
        <v>353845</v>
      </c>
      <c r="X146" s="87">
        <f>('ER18'!$AB$72+'ER18'!$AB$73+'ER18'!$AB$74+'ER18'!$AB$75+'ER18'!$AB$76+'ER18'!$AB$77+'ER18'!$AB$78+'ER18'!$AB$79+'ER18'!$AB$80+'ER18'!$AB$81+'ER18'!$AB$82+'ER18'!$AB$83+'ER18'!$AB$84+'ER18'!$AB$85+'ER18'!$AB$88+'ER18'!$AB$89+'ER18'!$AB$90)*-1</f>
        <v>353845</v>
      </c>
      <c r="AB146" s="87">
        <f>('ER18'!$AB$72+'ER18'!$AB$73+'ER18'!$AB$74+'ER18'!$AB$75+'ER18'!$AB$76+'ER18'!$AB$77+'ER18'!$AB$78+'ER18'!$AB$79+'ER18'!$AB$80+'ER18'!$AB$81+'ER18'!$AB$82+'ER18'!$AB$83+'ER18'!$AB$84+'ER18'!$AB$85+'ER18'!$AB$88+'ER18'!$AB$89+'ER18'!$AB$90)*-1</f>
        <v>353845</v>
      </c>
      <c r="AF146" s="87">
        <f>(AF72+AF73+AF74+AF75+AF76+AF77+AF78+AF79+AF80+AF81+AF82+AF83+AF84+AF85+AF88+AF89+AF90)*-1</f>
        <v>257959.78</v>
      </c>
      <c r="AJ146" s="87">
        <f>(AJ72+AJ73+AJ74+AJ75+AJ76+AJ77+AJ78+AJ79+AJ80+AJ81+AJ82+AJ83+AJ84+AJ85+AJ88+AJ89+AJ90)*-1</f>
        <v>281553.58</v>
      </c>
      <c r="AN146" s="87">
        <f>(AN72+AN73+AN74+AN75+AN76+AN77+AN78+AN79+AN80+AN81+AN82+AN83+AN84+AN85+AN88+AN89+AN90)*-1</f>
        <v>0</v>
      </c>
      <c r="AR146" s="87">
        <f>(AR72+AR73+AR74+AR75+AR76+AR77+AR78+AR79+AR80+AR81+AR82+AR83+AR84+AR85+AR88+AR89+AR90)*-1</f>
        <v>0</v>
      </c>
      <c r="AV146" s="87">
        <f>(AV72+AV73+AV74+AV75+AV76+AV77+AV78+AV79+AV80+AV81+AV82+AV83+AV84+AV85+AV88+AV89+AV90)*-1</f>
        <v>0</v>
      </c>
      <c r="AZ146" s="87">
        <f>(AZ72+AZ73+AZ74+AZ75+AZ76+AZ77+AZ78+AZ79+AZ80+AZ81+AZ82+AZ83+AZ84+AZ85+AZ88+AZ89+AZ90)*-1</f>
        <v>0</v>
      </c>
      <c r="BD146" s="87">
        <f>(BD72+BD73+BD74+BD75+BD76+BD77+BD78+BD79+BD80+BD81+BD82+BD83+BD84+BD85+BD88+BD89+BD90)*-1</f>
        <v>305935.34993083333</v>
      </c>
      <c r="BF146" s="125">
        <f>+BD146/$BD$8</f>
        <v>4449.9687262666666</v>
      </c>
    </row>
    <row r="147" spans="1:58" ht="22.5" x14ac:dyDescent="0.25">
      <c r="A147" s="69" t="s">
        <v>71</v>
      </c>
      <c r="B147" s="90"/>
      <c r="D147" s="90">
        <f>SUM(D149)</f>
        <v>1209055.7399999998</v>
      </c>
      <c r="E147" s="102">
        <f>+D147/$AB$123</f>
        <v>5.1213272478900375E-2</v>
      </c>
      <c r="H147" s="90">
        <f>SUM(H149)</f>
        <v>1158513.33</v>
      </c>
      <c r="I147" s="102">
        <f>+H147/$AB$123</f>
        <v>4.9072393337074964E-2</v>
      </c>
      <c r="L147" s="90">
        <f>SUM(L149)</f>
        <v>1158513.33</v>
      </c>
      <c r="M147" s="102">
        <f>+L147/$AB$123</f>
        <v>4.9072393337074964E-2</v>
      </c>
      <c r="P147" s="90">
        <f>SUM(P149)</f>
        <v>1158513.33</v>
      </c>
      <c r="Q147" s="102">
        <f>+P147/$AB$123</f>
        <v>4.9072393337074964E-2</v>
      </c>
      <c r="T147" s="90">
        <f>SUM(T149)</f>
        <v>1158513.33</v>
      </c>
      <c r="U147" s="102">
        <f>+T147/$AB$123</f>
        <v>4.9072393337074964E-2</v>
      </c>
      <c r="X147" s="90">
        <f>SUM(X149)</f>
        <v>1158513.33</v>
      </c>
      <c r="Y147" s="102">
        <f>+X147/$AB$123</f>
        <v>4.9072393337074964E-2</v>
      </c>
      <c r="AB147" s="90">
        <f>SUM(AB149)</f>
        <v>1158513.33</v>
      </c>
      <c r="AC147" s="102">
        <f>+AB147/$AB$123</f>
        <v>4.9072393337074964E-2</v>
      </c>
      <c r="AF147" s="90">
        <f>SUM(AF149)</f>
        <v>1073834.9300000002</v>
      </c>
      <c r="AG147" s="102">
        <f>+AF147/$AF$123</f>
        <v>4.5139186471026181E-2</v>
      </c>
      <c r="AJ147" s="90">
        <f>SUM(AJ149)</f>
        <v>1095837.5</v>
      </c>
      <c r="AK147" s="102">
        <f>+AJ147/$AF$123</f>
        <v>4.6064075466834685E-2</v>
      </c>
      <c r="AN147" s="90">
        <f>SUM(AN149)</f>
        <v>0</v>
      </c>
      <c r="AO147" s="102">
        <f>+AN147/$AF$123</f>
        <v>0</v>
      </c>
      <c r="AR147" s="90">
        <f>SUM(AR149)</f>
        <v>0</v>
      </c>
      <c r="AS147" s="102">
        <f>+AR147/$AF$123</f>
        <v>0</v>
      </c>
      <c r="AV147" s="90">
        <f>SUM(AV149)</f>
        <v>0</v>
      </c>
      <c r="AW147" s="102">
        <f>+AV147/$AF$123</f>
        <v>0</v>
      </c>
      <c r="AZ147" s="90">
        <f>SUM(AZ149)</f>
        <v>0</v>
      </c>
      <c r="BA147" s="102">
        <f>+AZ147/$AF$123</f>
        <v>0</v>
      </c>
      <c r="BD147" s="90">
        <f>SUM(BD149)</f>
        <v>1148147.6466666667</v>
      </c>
      <c r="BE147" s="102">
        <f>+BD147/$AF$123</f>
        <v>4.8262958552816433E-2</v>
      </c>
    </row>
    <row r="148" spans="1:58" x14ac:dyDescent="0.25">
      <c r="A148" s="62" t="s">
        <v>139</v>
      </c>
    </row>
    <row r="149" spans="1:58" x14ac:dyDescent="0.25">
      <c r="A149" s="63" t="s">
        <v>70</v>
      </c>
      <c r="D149" s="87">
        <f>'ER18'!$D$95*-1</f>
        <v>1209055.7399999998</v>
      </c>
      <c r="H149" s="87">
        <f>'ER18'!$AB$95*-1</f>
        <v>1158513.33</v>
      </c>
      <c r="L149" s="87">
        <f>'ER18'!$AB$95*-1</f>
        <v>1158513.33</v>
      </c>
      <c r="P149" s="87">
        <f>'ER18'!$AB$95*-1</f>
        <v>1158513.33</v>
      </c>
      <c r="T149" s="87">
        <f>'ER18'!$AB$95*-1</f>
        <v>1158513.33</v>
      </c>
      <c r="X149" s="87">
        <f>'ER18'!$AB$95*-1</f>
        <v>1158513.33</v>
      </c>
      <c r="AB149" s="87">
        <f>'ER18'!$AB$95*-1</f>
        <v>1158513.33</v>
      </c>
      <c r="AF149" s="87">
        <f>AF95*-1</f>
        <v>1073834.9300000002</v>
      </c>
      <c r="AJ149" s="87">
        <f>AJ95*-1</f>
        <v>1095837.5</v>
      </c>
      <c r="AN149" s="87">
        <f>AN95*-1</f>
        <v>0</v>
      </c>
      <c r="AR149" s="87">
        <f>AR95*-1</f>
        <v>0</v>
      </c>
      <c r="AV149" s="87">
        <f>AV95*-1</f>
        <v>0</v>
      </c>
      <c r="AZ149" s="87">
        <f>AZ95*-1</f>
        <v>0</v>
      </c>
      <c r="BD149" s="87">
        <f>BD95*-1</f>
        <v>1148147.6466666667</v>
      </c>
      <c r="BF149" s="125">
        <f>+BD149/$BD$8</f>
        <v>16700.329406060606</v>
      </c>
    </row>
    <row r="150" spans="1:58" ht="22.5" x14ac:dyDescent="0.25">
      <c r="A150" s="94" t="s">
        <v>142</v>
      </c>
      <c r="B150" s="93"/>
      <c r="D150" s="101">
        <f>D123-D124-D130-D134-D137-D143-D147</f>
        <v>-249402.13509701751</v>
      </c>
      <c r="H150" s="101">
        <f>H123-H124-H130-H134-H137-H143-H147</f>
        <v>-2164671.8372429968</v>
      </c>
      <c r="L150" s="101">
        <f>L123-L124-L130-L134-L137-L143-L147</f>
        <v>-263230.12476499612</v>
      </c>
      <c r="P150" s="101">
        <f>P123-P124-P130-P134-P137-P143-P147</f>
        <v>-122548.22799799638</v>
      </c>
      <c r="T150" s="101">
        <f>T123-T124-T130-T134-T137-T143-T147</f>
        <v>184987.52249900391</v>
      </c>
      <c r="X150" s="101">
        <f>X123-X124-X130-X134-X137-X143-X147</f>
        <v>2324812.7395670037</v>
      </c>
      <c r="AB150" s="101">
        <f>AB123-AB124-AB130-AB134-AB137-AB143-AB147</f>
        <v>1274270.1993660028</v>
      </c>
      <c r="AF150" s="101">
        <f>AF123-AF124-AF130-AF134-AF137-AF143-AF147</f>
        <v>1391076.9488950036</v>
      </c>
      <c r="AJ150" s="101">
        <f>AJ123-AJ124-AJ130-AJ134-AJ137-AJ143-AJ147</f>
        <v>-364312.17657199688</v>
      </c>
      <c r="AN150" s="101">
        <f>AN123-AN124-AN130-AN134-AN137-AN143-AN147</f>
        <v>0</v>
      </c>
      <c r="AR150" s="101">
        <f>AR123-AR124-AR130-AR134-AR137-AR143-AR147</f>
        <v>0</v>
      </c>
      <c r="AV150" s="101">
        <f>AV123-AV124-AV130-AV134-AV137-AV143-AV147</f>
        <v>0</v>
      </c>
      <c r="AZ150" s="101">
        <f>AZ123-AZ124-AZ130-AZ134-AZ137-AZ143-AZ147</f>
        <v>0</v>
      </c>
      <c r="BD150" s="101">
        <f>BD123-BD124-BD130-BD134-BD137-BD143-BD147</f>
        <v>-12498.645008670865</v>
      </c>
    </row>
    <row r="151" spans="1:58" ht="15.75" x14ac:dyDescent="0.25">
      <c r="A151" s="94" t="s">
        <v>152</v>
      </c>
      <c r="B151" s="93"/>
      <c r="D151" s="104">
        <f>+D150/D123</f>
        <v>-1.2830340372384196E-2</v>
      </c>
      <c r="E151" s="104">
        <f>SUM(E124+E130+E134+E137+E143+E147)</f>
        <v>0.83394017494295503</v>
      </c>
      <c r="F151" s="104">
        <f>SUM(D151:E151)</f>
        <v>0.82110983457057085</v>
      </c>
      <c r="H151" s="104">
        <f>+H150/H123</f>
        <v>-0.12040995192233436</v>
      </c>
      <c r="I151" s="104">
        <f>SUM(I124+I130+I134+I137+I143+I147)</f>
        <v>0.85318428249628819</v>
      </c>
      <c r="J151" s="104">
        <f>SUM(H151:I151)</f>
        <v>0.7327743305739538</v>
      </c>
      <c r="L151" s="104">
        <f>+L150/L123</f>
        <v>-1.1671184140897463E-2</v>
      </c>
      <c r="M151" s="104">
        <f>SUM(M124+M130+M134+M137+M143+M147)</f>
        <v>0.96648752553725903</v>
      </c>
      <c r="N151" s="104">
        <f>SUM(L151:M151)</f>
        <v>0.95481634139636151</v>
      </c>
      <c r="P151" s="104">
        <f>+P150/P123</f>
        <v>-5.5266967665761639E-3</v>
      </c>
      <c r="Q151" s="104">
        <f>SUM(Q124+Q130+Q134+Q137+Q143+Q147)</f>
        <v>0.9444331209639848</v>
      </c>
      <c r="R151" s="104">
        <f>SUM(P151:Q151)</f>
        <v>0.93890642419740866</v>
      </c>
      <c r="T151" s="104">
        <f>+T150/T123</f>
        <v>8.1307599880818711E-3</v>
      </c>
      <c r="U151" s="104">
        <f>SUM(U124+U130+U134+U137+U143+U147)</f>
        <v>0.9558768005888193</v>
      </c>
      <c r="V151" s="104">
        <f>SUM(T151:U151)</f>
        <v>0.96400756057690118</v>
      </c>
      <c r="X151" s="104">
        <f>+X150/X123</f>
        <v>9.2576935422645307E-2</v>
      </c>
      <c r="Y151" s="104">
        <f>SUM(Y124+Y130+Y134+Y137+Y143+Y147)</f>
        <v>0.96523085194510372</v>
      </c>
      <c r="Z151" s="104">
        <f>SUM(X151:Y151)</f>
        <v>1.0578077873677489</v>
      </c>
      <c r="AB151" s="104">
        <f>+AB150/AB123</f>
        <v>5.397563137318534E-2</v>
      </c>
      <c r="AC151" s="104">
        <f>SUM(AC124+AC130+AC134+AC137+AC143+AC147)</f>
        <v>0.9460243686268146</v>
      </c>
      <c r="AD151" s="104">
        <f>SUM(AB151:AC151)</f>
        <v>1</v>
      </c>
      <c r="AF151" s="104">
        <f>+AF150/AF123</f>
        <v>5.8474612845493594E-2</v>
      </c>
      <c r="AG151" s="104">
        <f>SUM(AG124+AG130+AG134+AG137+AG143+AG147)</f>
        <v>0.94152538715450662</v>
      </c>
      <c r="AH151" s="104">
        <f>SUM(AF151:AG151)</f>
        <v>1.0000000000000002</v>
      </c>
      <c r="AJ151" s="104">
        <f>+AJ150/AJ123</f>
        <v>-1.6843670788303997E-2</v>
      </c>
      <c r="AK151" s="104">
        <f>SUM(AK124+AK130+AK134+AK137+AK143+AK147)</f>
        <v>0.97223804024399629</v>
      </c>
      <c r="AL151" s="104"/>
      <c r="AN151" s="104" t="e">
        <f>+AN150/AN123</f>
        <v>#DIV/0!</v>
      </c>
      <c r="AO151" s="104">
        <f>SUM(AO124+AO130+AO134+AO137+AO143+AO147)</f>
        <v>0</v>
      </c>
      <c r="AP151" s="104" t="e">
        <f>SUM(AN151:AO151)</f>
        <v>#DIV/0!</v>
      </c>
      <c r="AR151" s="104" t="e">
        <f>+AR150/AR123</f>
        <v>#DIV/0!</v>
      </c>
      <c r="AS151" s="104">
        <f>SUM(AS124+AS130+AS134+AS137+AS143+AS147)</f>
        <v>0</v>
      </c>
      <c r="AT151" s="104" t="e">
        <f>SUM(AR151:AS151)</f>
        <v>#DIV/0!</v>
      </c>
      <c r="AV151" s="104" t="e">
        <f>+AV150/AV123</f>
        <v>#DIV/0!</v>
      </c>
      <c r="AW151" s="104">
        <f>SUM(AW124+AW130+AW134+AW137+AW143+AW147)</f>
        <v>0</v>
      </c>
      <c r="AX151" s="104" t="e">
        <f>SUM(AV151:AW151)</f>
        <v>#DIV/0!</v>
      </c>
      <c r="AZ151" s="104" t="e">
        <f>+AZ150/AZ123</f>
        <v>#DIV/0!</v>
      </c>
      <c r="BA151" s="104">
        <f>SUM(BA124+BA130+BA134+BA137+BA143+BA147)</f>
        <v>0</v>
      </c>
      <c r="BB151" s="104" t="e">
        <f>SUM(AZ151:BA151)</f>
        <v>#DIV/0!</v>
      </c>
      <c r="BD151" s="104">
        <f>+BD150/BD123</f>
        <v>-5.8421136487851548E-4</v>
      </c>
      <c r="BE151" s="104">
        <f>SUM(BE124+BE130+BE134+BE137+BE143+BE147)</f>
        <v>0.89983478697027353</v>
      </c>
      <c r="BF151" s="104">
        <f>SUM(BD151:BE151)</f>
        <v>0.89925057560539501</v>
      </c>
    </row>
    <row r="152" spans="1:58" x14ac:dyDescent="0.25">
      <c r="D152" s="86"/>
      <c r="H152" s="86"/>
      <c r="L152" s="86"/>
      <c r="P152" s="86"/>
      <c r="T152" s="86"/>
      <c r="X152" s="86"/>
      <c r="AB152" s="86"/>
      <c r="AF152" s="86"/>
      <c r="AG152" s="86"/>
      <c r="AK152" s="117"/>
    </row>
    <row r="153" spans="1:58" x14ac:dyDescent="0.25">
      <c r="A153" s="94"/>
      <c r="D153" s="86"/>
      <c r="E153" s="92"/>
      <c r="H153" s="86"/>
      <c r="I153" s="92"/>
      <c r="AB153" s="86"/>
      <c r="AC153" s="92"/>
      <c r="AF153" s="86"/>
      <c r="AG153" s="86"/>
      <c r="AK153" s="116"/>
    </row>
  </sheetData>
  <mergeCells count="203">
    <mergeCell ref="AZ11:BB11"/>
    <mergeCell ref="AZ12:BB12"/>
    <mergeCell ref="BD6:BF6"/>
    <mergeCell ref="AR4:AT4"/>
    <mergeCell ref="AR5:AT5"/>
    <mergeCell ref="AR7:AT7"/>
    <mergeCell ref="BD121:BF121"/>
    <mergeCell ref="AZ121:BB121"/>
    <mergeCell ref="BD1:BF1"/>
    <mergeCell ref="BD7:BF7"/>
    <mergeCell ref="BD8:BF8"/>
    <mergeCell ref="BD9:BF9"/>
    <mergeCell ref="BD10:BF10"/>
    <mergeCell ref="BD11:BF11"/>
    <mergeCell ref="BD12:BF12"/>
    <mergeCell ref="BD13:BF13"/>
    <mergeCell ref="BD4:BF4"/>
    <mergeCell ref="BD5:BF5"/>
    <mergeCell ref="AZ3:BB3"/>
    <mergeCell ref="AZ4:BB4"/>
    <mergeCell ref="AZ5:BB5"/>
    <mergeCell ref="AZ13:BB13"/>
    <mergeCell ref="AZ8:BB8"/>
    <mergeCell ref="AZ1:BB1"/>
    <mergeCell ref="AZ7:BB7"/>
    <mergeCell ref="AZ9:BB9"/>
    <mergeCell ref="AZ10:BB10"/>
    <mergeCell ref="AJ4:AL4"/>
    <mergeCell ref="AJ5:AL5"/>
    <mergeCell ref="AJ7:AL7"/>
    <mergeCell ref="AR13:AT13"/>
    <mergeCell ref="AR121:AT121"/>
    <mergeCell ref="AV1:AX1"/>
    <mergeCell ref="AV3:AX3"/>
    <mergeCell ref="AV4:AX4"/>
    <mergeCell ref="AV5:AX5"/>
    <mergeCell ref="AV7:AX7"/>
    <mergeCell ref="AV8:AX8"/>
    <mergeCell ref="AV9:AX9"/>
    <mergeCell ref="AV10:AX10"/>
    <mergeCell ref="AV11:AX11"/>
    <mergeCell ref="AV12:AX12"/>
    <mergeCell ref="AV13:AX13"/>
    <mergeCell ref="AV121:AX121"/>
    <mergeCell ref="AR8:AT8"/>
    <mergeCell ref="AR9:AT9"/>
    <mergeCell ref="AR10:AT10"/>
    <mergeCell ref="AR11:AT11"/>
    <mergeCell ref="AR12:AT12"/>
    <mergeCell ref="AR1:AT1"/>
    <mergeCell ref="AR3:AT3"/>
    <mergeCell ref="A24:A49"/>
    <mergeCell ref="A52:A59"/>
    <mergeCell ref="A61:A70"/>
    <mergeCell ref="AJ13:AL13"/>
    <mergeCell ref="AJ121:AL121"/>
    <mergeCell ref="AN1:AP1"/>
    <mergeCell ref="AN3:AP3"/>
    <mergeCell ref="AN4:AP4"/>
    <mergeCell ref="AN5:AP5"/>
    <mergeCell ref="AN7:AP7"/>
    <mergeCell ref="AN8:AP8"/>
    <mergeCell ref="AN9:AP9"/>
    <mergeCell ref="AN10:AP10"/>
    <mergeCell ref="AN11:AP11"/>
    <mergeCell ref="AN12:AP12"/>
    <mergeCell ref="AN13:AP13"/>
    <mergeCell ref="AN121:AP121"/>
    <mergeCell ref="AJ8:AL8"/>
    <mergeCell ref="AJ9:AL9"/>
    <mergeCell ref="AJ10:AL10"/>
    <mergeCell ref="AJ11:AL11"/>
    <mergeCell ref="AJ12:AL12"/>
    <mergeCell ref="AJ1:AL1"/>
    <mergeCell ref="AJ3:AL3"/>
    <mergeCell ref="AB9:AD9"/>
    <mergeCell ref="AB121:AD121"/>
    <mergeCell ref="AF1:AH1"/>
    <mergeCell ref="AF3:AH3"/>
    <mergeCell ref="AF4:AH4"/>
    <mergeCell ref="AF5:AH5"/>
    <mergeCell ref="AF7:AH7"/>
    <mergeCell ref="AF8:AH8"/>
    <mergeCell ref="AF9:AH9"/>
    <mergeCell ref="AF10:AH10"/>
    <mergeCell ref="AF11:AH11"/>
    <mergeCell ref="AF12:AH12"/>
    <mergeCell ref="AF13:AH13"/>
    <mergeCell ref="AF121:AH121"/>
    <mergeCell ref="AB13:AD13"/>
    <mergeCell ref="AB1:AD1"/>
    <mergeCell ref="AB4:AD4"/>
    <mergeCell ref="AB5:AD5"/>
    <mergeCell ref="AB7:AD7"/>
    <mergeCell ref="AB8:AD8"/>
    <mergeCell ref="AB10:AD10"/>
    <mergeCell ref="AB11:AD11"/>
    <mergeCell ref="AB12:AD12"/>
    <mergeCell ref="T6:V6"/>
    <mergeCell ref="A1:B1"/>
    <mergeCell ref="X1:Z1"/>
    <mergeCell ref="D1:F1"/>
    <mergeCell ref="H1:J1"/>
    <mergeCell ref="L1:N1"/>
    <mergeCell ref="P1:R1"/>
    <mergeCell ref="T1:V1"/>
    <mergeCell ref="X4:Z4"/>
    <mergeCell ref="X5:Z5"/>
    <mergeCell ref="P4:R4"/>
    <mergeCell ref="P5:R5"/>
    <mergeCell ref="H4:J4"/>
    <mergeCell ref="H5:J5"/>
    <mergeCell ref="T4:V4"/>
    <mergeCell ref="T5:V5"/>
    <mergeCell ref="L4:N4"/>
    <mergeCell ref="L5:N5"/>
    <mergeCell ref="D4:F4"/>
    <mergeCell ref="D5:F5"/>
    <mergeCell ref="A3:B3"/>
    <mergeCell ref="A4:B4"/>
    <mergeCell ref="A5:B5"/>
    <mergeCell ref="H6:J6"/>
    <mergeCell ref="P7:R7"/>
    <mergeCell ref="P8:R8"/>
    <mergeCell ref="P9:R9"/>
    <mergeCell ref="P10:R10"/>
    <mergeCell ref="P11:R11"/>
    <mergeCell ref="P12:R12"/>
    <mergeCell ref="P13:R13"/>
    <mergeCell ref="L7:N7"/>
    <mergeCell ref="L8:N8"/>
    <mergeCell ref="L9:N9"/>
    <mergeCell ref="L10:N10"/>
    <mergeCell ref="L11:N11"/>
    <mergeCell ref="L12:N12"/>
    <mergeCell ref="L13:N13"/>
    <mergeCell ref="L6:N6"/>
    <mergeCell ref="P6:R6"/>
    <mergeCell ref="D6:F6"/>
    <mergeCell ref="A121:B121"/>
    <mergeCell ref="D121:F121"/>
    <mergeCell ref="A9:B9"/>
    <mergeCell ref="A99:B99"/>
    <mergeCell ref="A100:B100"/>
    <mergeCell ref="A6:B6"/>
    <mergeCell ref="A10:B10"/>
    <mergeCell ref="A11:B11"/>
    <mergeCell ref="A12:B12"/>
    <mergeCell ref="A7:B7"/>
    <mergeCell ref="A8:B8"/>
    <mergeCell ref="A101:B101"/>
    <mergeCell ref="A107:B107"/>
    <mergeCell ref="A108:B108"/>
    <mergeCell ref="A97:B97"/>
    <mergeCell ref="A13:B13"/>
    <mergeCell ref="A72:A90"/>
    <mergeCell ref="A93:B93"/>
    <mergeCell ref="A94:B94"/>
    <mergeCell ref="A95:B95"/>
    <mergeCell ref="A96:B96"/>
    <mergeCell ref="A15:B15"/>
    <mergeCell ref="A17:A21"/>
    <mergeCell ref="X11:Z11"/>
    <mergeCell ref="X12:Z12"/>
    <mergeCell ref="X13:Z13"/>
    <mergeCell ref="T7:V7"/>
    <mergeCell ref="T8:V8"/>
    <mergeCell ref="T9:V9"/>
    <mergeCell ref="T10:V10"/>
    <mergeCell ref="T11:V11"/>
    <mergeCell ref="D7:F7"/>
    <mergeCell ref="D8:F8"/>
    <mergeCell ref="D9:F9"/>
    <mergeCell ref="D10:F10"/>
    <mergeCell ref="D11:F11"/>
    <mergeCell ref="D12:F12"/>
    <mergeCell ref="D13:F13"/>
    <mergeCell ref="T12:V12"/>
    <mergeCell ref="T13:V13"/>
    <mergeCell ref="X6:Z6"/>
    <mergeCell ref="AB6:AD6"/>
    <mergeCell ref="AF6:AH6"/>
    <mergeCell ref="AJ6:AL6"/>
    <mergeCell ref="AN6:AP6"/>
    <mergeCell ref="AR6:AT6"/>
    <mergeCell ref="AV6:AX6"/>
    <mergeCell ref="AZ6:BB6"/>
    <mergeCell ref="H121:J121"/>
    <mergeCell ref="L121:N121"/>
    <mergeCell ref="P121:R121"/>
    <mergeCell ref="T121:V121"/>
    <mergeCell ref="X121:Z121"/>
    <mergeCell ref="H7:J7"/>
    <mergeCell ref="H8:J8"/>
    <mergeCell ref="H9:J9"/>
    <mergeCell ref="H10:J10"/>
    <mergeCell ref="H11:J11"/>
    <mergeCell ref="H12:J12"/>
    <mergeCell ref="H13:J13"/>
    <mergeCell ref="X7:Z7"/>
    <mergeCell ref="X8:Z8"/>
    <mergeCell ref="X9:Z9"/>
    <mergeCell ref="X10:Z10"/>
  </mergeCells>
  <pageMargins left="0.70866141732283472" right="0.11811023622047245" top="0.74803149606299213" bottom="0.74803149606299213" header="0.31496062992125984" footer="0.31496062992125984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/>
  <dimension ref="A1:ME7"/>
  <sheetViews>
    <sheetView tabSelected="1" zoomScale="130" zoomScaleNormal="130" workbookViewId="0">
      <pane xSplit="5" ySplit="1" topLeftCell="AV2" activePane="bottomRight" state="frozen"/>
      <selection pane="topRight" activeCell="F1" sqref="F1"/>
      <selection pane="bottomLeft" activeCell="A2" sqref="A2"/>
      <selection pane="bottomRight" activeCell="AZ2" sqref="AZ2"/>
    </sheetView>
  </sheetViews>
  <sheetFormatPr baseColWidth="10" defaultRowHeight="15" x14ac:dyDescent="0.25"/>
  <cols>
    <col min="1" max="1" width="5.42578125" customWidth="1"/>
    <col min="2" max="2" width="10.140625" customWidth="1"/>
    <col min="3" max="3" width="7.5703125" customWidth="1"/>
    <col min="4" max="4" width="10" customWidth="1"/>
    <col min="5" max="5" width="12.85546875" customWidth="1"/>
    <col min="6" max="6" width="6.28515625" customWidth="1"/>
    <col min="7" max="7" width="11.7109375" customWidth="1"/>
    <col min="8" max="8" width="8.28515625" customWidth="1"/>
    <col min="9" max="9" width="8.140625" customWidth="1"/>
    <col min="10" max="10" width="11.42578125" bestFit="1" customWidth="1"/>
    <col min="11" max="11" width="11.7109375" bestFit="1" customWidth="1"/>
    <col min="12" max="12" width="15.42578125" bestFit="1" customWidth="1"/>
    <col min="13" max="13" width="13.7109375" bestFit="1" customWidth="1"/>
    <col min="14" max="14" width="16.7109375" bestFit="1" customWidth="1"/>
    <col min="15" max="15" width="10.85546875" bestFit="1" customWidth="1"/>
    <col min="16" max="16" width="11.7109375" bestFit="1" customWidth="1"/>
    <col min="17" max="17" width="11.28515625" style="142" bestFit="1" customWidth="1"/>
    <col min="18" max="18" width="14.42578125" style="142" bestFit="1" customWidth="1"/>
    <col min="19" max="19" width="9.28515625" style="142" bestFit="1" customWidth="1"/>
    <col min="20" max="20" width="9.5703125" style="142" bestFit="1" customWidth="1"/>
    <col min="21" max="21" width="11.7109375" style="142" bestFit="1" customWidth="1"/>
    <col min="22" max="22" width="15" bestFit="1" customWidth="1"/>
    <col min="23" max="23" width="19.85546875" bestFit="1" customWidth="1"/>
    <col min="24" max="24" width="19.5703125" bestFit="1" customWidth="1"/>
    <col min="25" max="25" width="11.5703125" bestFit="1" customWidth="1"/>
    <col min="26" max="26" width="9.7109375" bestFit="1" customWidth="1"/>
    <col min="27" max="27" width="13" bestFit="1" customWidth="1"/>
    <col min="28" max="28" width="10.28515625" bestFit="1" customWidth="1"/>
    <col min="29" max="29" width="9.42578125" bestFit="1" customWidth="1"/>
    <col min="30" max="30" width="19.5703125" bestFit="1" customWidth="1"/>
    <col min="31" max="31" width="11.5703125" bestFit="1" customWidth="1"/>
    <col min="32" max="32" width="15.5703125" bestFit="1" customWidth="1"/>
    <col min="33" max="33" width="10.5703125" bestFit="1" customWidth="1"/>
    <col min="34" max="34" width="14.42578125" bestFit="1" customWidth="1"/>
    <col min="35" max="35" width="9.28515625" bestFit="1" customWidth="1"/>
    <col min="36" max="36" width="18.7109375" bestFit="1" customWidth="1"/>
    <col min="37" max="37" width="15.85546875" bestFit="1" customWidth="1"/>
    <col min="38" max="38" width="11.28515625" bestFit="1" customWidth="1"/>
    <col min="39" max="39" width="16.5703125" bestFit="1" customWidth="1"/>
    <col min="40" max="40" width="11.42578125" bestFit="1" customWidth="1"/>
    <col min="41" max="41" width="14.28515625" bestFit="1" customWidth="1"/>
    <col min="42" max="42" width="9.42578125" bestFit="1" customWidth="1"/>
    <col min="43" max="43" width="17.85546875" bestFit="1" customWidth="1"/>
    <col min="44" max="44" width="11.28515625" bestFit="1" customWidth="1"/>
    <col min="45" max="45" width="12.42578125" bestFit="1" customWidth="1"/>
    <col min="46" max="46" width="9.42578125" bestFit="1" customWidth="1"/>
    <col min="47" max="47" width="20.7109375" bestFit="1" customWidth="1"/>
    <col min="48" max="48" width="10.5703125" bestFit="1" customWidth="1"/>
    <col min="49" max="49" width="12" bestFit="1" customWidth="1"/>
    <col min="50" max="50" width="11" customWidth="1"/>
    <col min="51" max="51" width="6.5703125" customWidth="1"/>
    <col min="52" max="52" width="9" customWidth="1"/>
    <col min="53" max="53" width="9.7109375" customWidth="1"/>
    <col min="54" max="54" width="8" customWidth="1"/>
    <col min="55" max="55" width="2.85546875" customWidth="1"/>
    <col min="56" max="56" width="6" customWidth="1"/>
    <col min="57" max="58" width="3.7109375" customWidth="1"/>
    <col min="59" max="59" width="13.140625" customWidth="1"/>
    <col min="60" max="60" width="12" customWidth="1"/>
    <col min="61" max="61" width="15" customWidth="1"/>
    <col min="62" max="62" width="15.5703125" customWidth="1"/>
    <col min="63" max="63" width="14.42578125" customWidth="1"/>
    <col min="64" max="64" width="11.5703125" customWidth="1"/>
    <col min="65" max="65" width="9.7109375" customWidth="1"/>
    <col min="66" max="66" width="13" customWidth="1"/>
    <col min="67" max="67" width="10.28515625" customWidth="1"/>
    <col min="68" max="68" width="9.42578125" customWidth="1"/>
    <col min="69" max="69" width="15.85546875" customWidth="1"/>
    <col min="70" max="70" width="11.5703125" customWidth="1"/>
    <col min="71" max="71" width="15.5703125" customWidth="1"/>
    <col min="72" max="72" width="10.5703125" customWidth="1"/>
    <col min="73" max="73" width="14.42578125" customWidth="1"/>
    <col min="74" max="74" width="9.28515625" customWidth="1"/>
    <col min="75" max="75" width="14.42578125" customWidth="1"/>
    <col min="76" max="76" width="15.85546875" customWidth="1"/>
    <col min="77" max="77" width="9.7109375" customWidth="1"/>
    <col min="78" max="78" width="16.5703125" customWidth="1"/>
    <col min="79" max="79" width="11.42578125" customWidth="1"/>
    <col min="80" max="80" width="14.28515625" customWidth="1"/>
    <col min="81" max="81" width="9.42578125" customWidth="1"/>
    <col min="82" max="82" width="15.5703125" customWidth="1"/>
    <col min="83" max="83" width="10" customWidth="1"/>
    <col min="84" max="84" width="12.42578125" customWidth="1"/>
    <col min="85" max="85" width="9.42578125" customWidth="1"/>
    <col min="86" max="86" width="15.5703125" customWidth="1"/>
    <col min="87" max="87" width="9.28515625" customWidth="1"/>
    <col min="88" max="88" width="12" customWidth="1"/>
    <col min="89" max="89" width="13.7109375" customWidth="1"/>
    <col min="90" max="90" width="12.28515625" customWidth="1"/>
    <col min="91" max="91" width="11.28515625" customWidth="1"/>
    <col min="92" max="94" width="3.7109375" customWidth="1"/>
    <col min="95" max="95" width="13.140625" customWidth="1"/>
    <col min="96" max="96" width="12" customWidth="1"/>
    <col min="97" max="97" width="15" customWidth="1"/>
    <col min="98" max="98" width="15.5703125" customWidth="1"/>
    <col min="99" max="99" width="14.42578125" customWidth="1"/>
    <col min="100" max="100" width="11.5703125" customWidth="1"/>
    <col min="101" max="101" width="9.7109375" customWidth="1"/>
    <col min="102" max="102" width="13" customWidth="1"/>
    <col min="103" max="103" width="10.28515625" customWidth="1"/>
    <col min="104" max="104" width="9.42578125" customWidth="1"/>
    <col min="105" max="105" width="15.85546875" customWidth="1"/>
    <col min="106" max="106" width="11.5703125" customWidth="1"/>
    <col min="107" max="107" width="15.5703125" customWidth="1"/>
    <col min="108" max="108" width="10.5703125" customWidth="1"/>
    <col min="109" max="109" width="14.42578125" customWidth="1"/>
    <col min="110" max="110" width="9.28515625" customWidth="1"/>
    <col min="111" max="111" width="14.42578125" customWidth="1"/>
    <col min="112" max="112" width="15.85546875" customWidth="1"/>
    <col min="113" max="113" width="9.7109375" customWidth="1"/>
    <col min="114" max="114" width="16.5703125" customWidth="1"/>
    <col min="115" max="115" width="11.42578125" customWidth="1"/>
    <col min="116" max="116" width="14.28515625" customWidth="1"/>
    <col min="117" max="117" width="9.42578125" customWidth="1"/>
    <col min="118" max="118" width="15.5703125" customWidth="1"/>
    <col min="119" max="119" width="10" customWidth="1"/>
    <col min="120" max="120" width="12.42578125" customWidth="1"/>
    <col min="121" max="121" width="9.42578125" customWidth="1"/>
    <col min="122" max="122" width="15.5703125" customWidth="1"/>
    <col min="123" max="123" width="9.28515625" customWidth="1"/>
    <col min="124" max="124" width="12" customWidth="1"/>
    <col min="125" max="125" width="13.7109375" customWidth="1"/>
    <col min="126" max="126" width="12.28515625" customWidth="1"/>
    <col min="127" max="127" width="11.28515625" customWidth="1"/>
    <col min="128" max="130" width="3.7109375" customWidth="1"/>
    <col min="131" max="131" width="13.140625" customWidth="1"/>
    <col min="132" max="132" width="12" customWidth="1"/>
    <col min="133" max="133" width="15" customWidth="1"/>
    <col min="134" max="134" width="15.5703125" customWidth="1"/>
    <col min="135" max="135" width="14.42578125" customWidth="1"/>
    <col min="136" max="136" width="11.5703125" customWidth="1"/>
    <col min="137" max="137" width="9.7109375" customWidth="1"/>
    <col min="138" max="138" width="13" customWidth="1"/>
    <col min="139" max="139" width="10.28515625" customWidth="1"/>
    <col min="140" max="140" width="9.42578125" customWidth="1"/>
    <col min="141" max="141" width="15.85546875" customWidth="1"/>
    <col min="142" max="142" width="11.5703125" customWidth="1"/>
    <col min="143" max="143" width="15.5703125" customWidth="1"/>
    <col min="144" max="144" width="10.5703125" customWidth="1"/>
    <col min="145" max="145" width="14.42578125" customWidth="1"/>
    <col min="146" max="146" width="9.28515625" customWidth="1"/>
    <col min="147" max="147" width="14.42578125" customWidth="1"/>
    <col min="148" max="148" width="15.85546875" customWidth="1"/>
    <col min="149" max="149" width="11.28515625" customWidth="1"/>
    <col min="150" max="150" width="16.5703125" customWidth="1"/>
    <col min="151" max="151" width="11.42578125" customWidth="1"/>
    <col min="152" max="152" width="14.28515625" customWidth="1"/>
    <col min="153" max="153" width="9.42578125" customWidth="1"/>
    <col min="154" max="154" width="15.5703125" customWidth="1"/>
    <col min="155" max="155" width="10" customWidth="1"/>
    <col min="156" max="156" width="12.42578125" customWidth="1"/>
    <col min="157" max="157" width="9.42578125" customWidth="1"/>
    <col min="158" max="158" width="15.5703125" customWidth="1"/>
    <col min="159" max="159" width="9.28515625" customWidth="1"/>
    <col min="160" max="160" width="12" customWidth="1"/>
    <col min="161" max="161" width="13.7109375" customWidth="1"/>
    <col min="162" max="162" width="12.28515625" customWidth="1"/>
    <col min="163" max="163" width="11.28515625" customWidth="1"/>
    <col min="164" max="166" width="3.7109375" customWidth="1"/>
    <col min="167" max="167" width="13.140625" customWidth="1"/>
    <col min="168" max="168" width="11" customWidth="1"/>
    <col min="169" max="169" width="15" customWidth="1"/>
    <col min="170" max="170" width="15.5703125" customWidth="1"/>
    <col min="171" max="171" width="14.42578125" customWidth="1"/>
    <col min="172" max="172" width="11.5703125" customWidth="1"/>
    <col min="173" max="173" width="9.7109375" customWidth="1"/>
    <col min="174" max="174" width="13" customWidth="1"/>
    <col min="175" max="175" width="10.28515625" customWidth="1"/>
    <col min="176" max="176" width="9.42578125" customWidth="1"/>
    <col min="177" max="177" width="15.85546875" customWidth="1"/>
    <col min="178" max="178" width="11.5703125" customWidth="1"/>
    <col min="179" max="179" width="15.5703125" customWidth="1"/>
    <col min="180" max="180" width="10.5703125" customWidth="1"/>
    <col min="181" max="181" width="14.42578125" customWidth="1"/>
    <col min="182" max="182" width="9.28515625" customWidth="1"/>
    <col min="183" max="183" width="14.42578125" customWidth="1"/>
    <col min="184" max="184" width="15.85546875" customWidth="1"/>
    <col min="185" max="185" width="9.7109375" customWidth="1"/>
    <col min="186" max="186" width="16.5703125" customWidth="1"/>
    <col min="187" max="187" width="11.42578125" customWidth="1"/>
    <col min="188" max="188" width="14.28515625" customWidth="1"/>
    <col min="189" max="189" width="9.42578125" customWidth="1"/>
    <col min="190" max="190" width="15.5703125" customWidth="1"/>
    <col min="191" max="191" width="10" customWidth="1"/>
    <col min="192" max="192" width="12.42578125" customWidth="1"/>
    <col min="193" max="193" width="9.42578125" customWidth="1"/>
    <col min="194" max="194" width="15.5703125" customWidth="1"/>
    <col min="195" max="195" width="9.28515625" customWidth="1"/>
    <col min="196" max="196" width="12" customWidth="1"/>
    <col min="197" max="197" width="13.7109375" customWidth="1"/>
    <col min="198" max="198" width="12.28515625" customWidth="1"/>
    <col min="199" max="199" width="11.28515625" customWidth="1"/>
    <col min="200" max="202" width="3.7109375" customWidth="1"/>
    <col min="203" max="204" width="12" customWidth="1"/>
    <col min="205" max="205" width="15" customWidth="1"/>
    <col min="206" max="206" width="15.5703125" customWidth="1"/>
    <col min="207" max="207" width="14.42578125" customWidth="1"/>
    <col min="208" max="208" width="11.5703125" customWidth="1"/>
    <col min="209" max="209" width="9.7109375" customWidth="1"/>
    <col min="210" max="210" width="13" customWidth="1"/>
    <col min="211" max="211" width="10.28515625" customWidth="1"/>
    <col min="212" max="212" width="9.42578125" customWidth="1"/>
    <col min="213" max="213" width="15.85546875" customWidth="1"/>
    <col min="214" max="214" width="11.5703125" customWidth="1"/>
    <col min="215" max="215" width="15.5703125" customWidth="1"/>
    <col min="216" max="216" width="10.5703125" customWidth="1"/>
    <col min="217" max="217" width="14.42578125" customWidth="1"/>
    <col min="218" max="218" width="9.28515625" customWidth="1"/>
    <col min="219" max="219" width="14.42578125" customWidth="1"/>
    <col min="220" max="220" width="15.85546875" customWidth="1"/>
    <col min="221" max="221" width="9.7109375" customWidth="1"/>
    <col min="222" max="222" width="16.5703125" customWidth="1"/>
    <col min="223" max="223" width="11.42578125" customWidth="1"/>
    <col min="224" max="224" width="14.28515625" customWidth="1"/>
    <col min="225" max="225" width="9.42578125" customWidth="1"/>
    <col min="226" max="226" width="15.5703125" customWidth="1"/>
    <col min="227" max="227" width="10" customWidth="1"/>
    <col min="228" max="228" width="12.42578125" customWidth="1"/>
    <col min="229" max="229" width="9.42578125" customWidth="1"/>
    <col min="230" max="230" width="15.5703125" customWidth="1"/>
    <col min="231" max="231" width="9.28515625" customWidth="1"/>
    <col min="232" max="232" width="12" customWidth="1"/>
    <col min="233" max="233" width="13.7109375" customWidth="1"/>
    <col min="234" max="234" width="12.28515625" customWidth="1"/>
    <col min="235" max="235" width="11.28515625" customWidth="1"/>
    <col min="236" max="238" width="3.7109375" customWidth="1"/>
    <col min="239" max="240" width="12" customWidth="1"/>
    <col min="241" max="241" width="15" customWidth="1"/>
    <col min="242" max="242" width="15.5703125" customWidth="1"/>
    <col min="243" max="243" width="14.42578125" customWidth="1"/>
    <col min="244" max="244" width="11.5703125" customWidth="1"/>
    <col min="245" max="245" width="9.7109375" customWidth="1"/>
    <col min="246" max="246" width="13" customWidth="1"/>
    <col min="247" max="247" width="10.28515625" customWidth="1"/>
    <col min="248" max="248" width="9.42578125" customWidth="1"/>
    <col min="249" max="249" width="15.85546875" customWidth="1"/>
    <col min="250" max="250" width="11.5703125" customWidth="1"/>
    <col min="251" max="251" width="15.5703125" customWidth="1"/>
    <col min="252" max="252" width="10.5703125" customWidth="1"/>
    <col min="253" max="253" width="14.42578125" customWidth="1"/>
    <col min="254" max="254" width="9.28515625" customWidth="1"/>
    <col min="255" max="255" width="14.42578125" customWidth="1"/>
    <col min="256" max="256" width="15.85546875" customWidth="1"/>
    <col min="257" max="257" width="9.7109375" customWidth="1"/>
    <col min="258" max="258" width="16.5703125" customWidth="1"/>
    <col min="259" max="259" width="11.42578125" customWidth="1"/>
    <col min="260" max="260" width="14.28515625" customWidth="1"/>
    <col min="261" max="261" width="9.42578125" customWidth="1"/>
    <col min="262" max="262" width="15.5703125" customWidth="1"/>
    <col min="263" max="263" width="10" customWidth="1"/>
    <col min="264" max="264" width="12.42578125" customWidth="1"/>
    <col min="265" max="265" width="9.42578125" customWidth="1"/>
    <col min="266" max="266" width="15.5703125" customWidth="1"/>
    <col min="267" max="267" width="9.28515625" customWidth="1"/>
    <col min="268" max="268" width="12" customWidth="1"/>
    <col min="269" max="269" width="13.7109375" customWidth="1"/>
    <col min="270" max="270" width="12.28515625" customWidth="1"/>
    <col min="271" max="271" width="8.5703125" customWidth="1"/>
    <col min="272" max="274" width="3.7109375" customWidth="1"/>
    <col min="275" max="276" width="12" customWidth="1"/>
    <col min="277" max="277" width="15" customWidth="1"/>
    <col min="278" max="278" width="15.5703125" customWidth="1"/>
    <col min="279" max="279" width="14.42578125" customWidth="1"/>
    <col min="280" max="280" width="11.5703125" customWidth="1"/>
    <col min="281" max="281" width="9.7109375" customWidth="1"/>
    <col min="282" max="282" width="13" customWidth="1"/>
    <col min="283" max="283" width="10.28515625" customWidth="1"/>
    <col min="284" max="284" width="9.42578125" customWidth="1"/>
    <col min="285" max="285" width="15.85546875" customWidth="1"/>
    <col min="286" max="286" width="11.5703125" customWidth="1"/>
    <col min="287" max="287" width="15.5703125" customWidth="1"/>
    <col min="288" max="288" width="10.5703125" customWidth="1"/>
    <col min="289" max="289" width="14.42578125" customWidth="1"/>
    <col min="290" max="290" width="9.28515625" customWidth="1"/>
    <col min="291" max="291" width="14.42578125" customWidth="1"/>
    <col min="292" max="292" width="15.85546875" customWidth="1"/>
    <col min="293" max="293" width="9.7109375" customWidth="1"/>
    <col min="294" max="294" width="16.5703125" customWidth="1"/>
    <col min="295" max="295" width="11.42578125" customWidth="1"/>
    <col min="296" max="296" width="14.28515625" customWidth="1"/>
    <col min="297" max="297" width="9.42578125" customWidth="1"/>
    <col min="298" max="298" width="15.5703125" customWidth="1"/>
    <col min="299" max="299" width="10" customWidth="1"/>
    <col min="300" max="300" width="12.42578125" customWidth="1"/>
    <col min="301" max="301" width="9.42578125" customWidth="1"/>
    <col min="302" max="302" width="15.5703125" customWidth="1"/>
    <col min="303" max="303" width="9.28515625" customWidth="1"/>
    <col min="304" max="304" width="12" customWidth="1"/>
    <col min="305" max="305" width="13.7109375" customWidth="1"/>
    <col min="306" max="306" width="12.28515625" customWidth="1"/>
    <col min="307" max="307" width="8.5703125" customWidth="1"/>
    <col min="308" max="310" width="3.7109375" customWidth="1"/>
    <col min="311" max="312" width="12" customWidth="1"/>
    <col min="313" max="313" width="15" customWidth="1"/>
    <col min="314" max="314" width="15.5703125" customWidth="1"/>
    <col min="315" max="315" width="14.42578125" customWidth="1"/>
    <col min="316" max="316" width="11.5703125" customWidth="1"/>
    <col min="317" max="317" width="9.7109375" customWidth="1"/>
    <col min="318" max="318" width="13" customWidth="1"/>
    <col min="319" max="319" width="10.28515625" customWidth="1"/>
    <col min="320" max="320" width="9.42578125" customWidth="1"/>
    <col min="321" max="321" width="15.85546875" customWidth="1"/>
    <col min="322" max="322" width="11.5703125" customWidth="1"/>
    <col min="323" max="323" width="15.5703125" customWidth="1"/>
    <col min="324" max="324" width="10.5703125" customWidth="1"/>
    <col min="325" max="325" width="14.42578125" customWidth="1"/>
    <col min="326" max="326" width="9.28515625" customWidth="1"/>
    <col min="327" max="327" width="14.42578125" customWidth="1"/>
    <col min="328" max="328" width="15.85546875" customWidth="1"/>
    <col min="329" max="329" width="9.7109375" customWidth="1"/>
    <col min="330" max="330" width="16.5703125" customWidth="1"/>
    <col min="331" max="331" width="11.42578125" customWidth="1"/>
    <col min="332" max="332" width="14.28515625" customWidth="1"/>
    <col min="333" max="333" width="9.42578125" bestFit="1" customWidth="1"/>
    <col min="334" max="334" width="15.5703125" customWidth="1"/>
    <col min="335" max="335" width="10" customWidth="1"/>
    <col min="336" max="336" width="5.5703125" customWidth="1"/>
    <col min="337" max="337" width="12.28515625" customWidth="1"/>
    <col min="338" max="338" width="14.42578125" customWidth="1"/>
    <col min="339" max="339" width="9.42578125" customWidth="1"/>
    <col min="340" max="340" width="16.140625" customWidth="1"/>
    <col min="341" max="341" width="7.42578125" customWidth="1"/>
    <col min="342" max="342" width="4.5703125" customWidth="1"/>
    <col min="343" max="343" width="5.5703125" customWidth="1"/>
    <col min="344" max="346" width="11.42578125" customWidth="1"/>
    <col min="347" max="347" width="7.28515625" bestFit="1" customWidth="1"/>
  </cols>
  <sheetData>
    <row r="1" spans="1:343" s="64" customFormat="1" ht="60" customHeight="1" x14ac:dyDescent="0.2">
      <c r="A1" s="56" t="s">
        <v>135</v>
      </c>
      <c r="B1" s="56" t="s">
        <v>133</v>
      </c>
      <c r="C1" s="56" t="s">
        <v>121</v>
      </c>
      <c r="D1" s="55" t="s">
        <v>122</v>
      </c>
      <c r="E1" s="55" t="s">
        <v>72</v>
      </c>
      <c r="F1" s="55" t="s">
        <v>123</v>
      </c>
      <c r="G1" s="55" t="s">
        <v>73</v>
      </c>
      <c r="H1" s="56" t="s">
        <v>124</v>
      </c>
      <c r="I1" s="57" t="s">
        <v>158</v>
      </c>
      <c r="J1" s="58" t="s">
        <v>159</v>
      </c>
      <c r="K1" s="58" t="s">
        <v>160</v>
      </c>
      <c r="L1" s="57" t="s">
        <v>161</v>
      </c>
      <c r="M1" s="57" t="s">
        <v>162</v>
      </c>
      <c r="N1" s="59" t="s">
        <v>0</v>
      </c>
      <c r="O1" s="60" t="s">
        <v>163</v>
      </c>
      <c r="P1" s="60" t="s">
        <v>164</v>
      </c>
      <c r="Q1" s="140" t="s">
        <v>165</v>
      </c>
      <c r="R1" s="140" t="s">
        <v>166</v>
      </c>
      <c r="S1" s="140" t="s">
        <v>167</v>
      </c>
      <c r="T1" s="140" t="s">
        <v>168</v>
      </c>
      <c r="U1" s="140" t="s">
        <v>169</v>
      </c>
      <c r="V1" s="59" t="s">
        <v>180</v>
      </c>
      <c r="W1" s="61" t="s">
        <v>2</v>
      </c>
      <c r="X1" s="62" t="s">
        <v>125</v>
      </c>
      <c r="Y1" s="62" t="s">
        <v>126</v>
      </c>
      <c r="Z1" s="63" t="s">
        <v>4</v>
      </c>
      <c r="AA1" s="63" t="s">
        <v>5</v>
      </c>
      <c r="AB1" s="63" t="s">
        <v>6</v>
      </c>
      <c r="AC1" s="63" t="s">
        <v>7</v>
      </c>
      <c r="AD1" s="62" t="s">
        <v>12</v>
      </c>
      <c r="AE1" s="62" t="s">
        <v>126</v>
      </c>
      <c r="AF1" s="63" t="s">
        <v>13</v>
      </c>
      <c r="AG1" s="63" t="s">
        <v>14</v>
      </c>
      <c r="AH1" s="62" t="s">
        <v>15</v>
      </c>
      <c r="AI1" s="62" t="s">
        <v>136</v>
      </c>
      <c r="AJ1" s="63" t="s">
        <v>16</v>
      </c>
      <c r="AK1" s="62" t="s">
        <v>8</v>
      </c>
      <c r="AL1" s="62" t="s">
        <v>137</v>
      </c>
      <c r="AM1" s="63" t="s">
        <v>9</v>
      </c>
      <c r="AN1" s="63" t="s">
        <v>10</v>
      </c>
      <c r="AO1" s="63" t="s">
        <v>11</v>
      </c>
      <c r="AP1" s="63" t="s">
        <v>7</v>
      </c>
      <c r="AQ1" s="62" t="s">
        <v>17</v>
      </c>
      <c r="AR1" s="62" t="s">
        <v>170</v>
      </c>
      <c r="AS1" s="63" t="s">
        <v>18</v>
      </c>
      <c r="AT1" s="63" t="s">
        <v>7</v>
      </c>
      <c r="AU1" s="62" t="s">
        <v>156</v>
      </c>
      <c r="AV1" s="62" t="s">
        <v>139</v>
      </c>
      <c r="AW1" s="63" t="s">
        <v>70</v>
      </c>
      <c r="AX1" s="61" t="s">
        <v>19</v>
      </c>
      <c r="AY1" s="61" t="s">
        <v>152</v>
      </c>
      <c r="AZ1" s="79">
        <v>0.1</v>
      </c>
      <c r="BA1" s="79" t="s">
        <v>154</v>
      </c>
      <c r="BB1" s="79" t="s">
        <v>185</v>
      </c>
      <c r="BG1" s="60" t="s">
        <v>1</v>
      </c>
      <c r="BH1" s="60" t="s">
        <v>134</v>
      </c>
      <c r="BI1" s="59" t="s">
        <v>174</v>
      </c>
      <c r="BJ1" s="61" t="s">
        <v>2</v>
      </c>
      <c r="BK1" s="62" t="s">
        <v>125</v>
      </c>
      <c r="BL1" s="62" t="s">
        <v>126</v>
      </c>
      <c r="BM1" s="63" t="s">
        <v>4</v>
      </c>
      <c r="BN1" s="63" t="s">
        <v>5</v>
      </c>
      <c r="BO1" s="63" t="s">
        <v>6</v>
      </c>
      <c r="BP1" s="63" t="s">
        <v>7</v>
      </c>
      <c r="BQ1" s="62" t="s">
        <v>12</v>
      </c>
      <c r="BR1" s="62" t="s">
        <v>126</v>
      </c>
      <c r="BS1" s="63" t="s">
        <v>13</v>
      </c>
      <c r="BT1" s="63" t="s">
        <v>14</v>
      </c>
      <c r="BU1" s="62" t="s">
        <v>15</v>
      </c>
      <c r="BV1" s="62" t="s">
        <v>136</v>
      </c>
      <c r="BW1" s="63" t="s">
        <v>16</v>
      </c>
      <c r="BX1" s="62" t="s">
        <v>8</v>
      </c>
      <c r="BY1" s="62" t="s">
        <v>137</v>
      </c>
      <c r="BZ1" s="63" t="s">
        <v>9</v>
      </c>
      <c r="CA1" s="63" t="s">
        <v>10</v>
      </c>
      <c r="CB1" s="63" t="s">
        <v>11</v>
      </c>
      <c r="CC1" s="63" t="s">
        <v>7</v>
      </c>
      <c r="CD1" s="62" t="s">
        <v>17</v>
      </c>
      <c r="CE1" s="62" t="s">
        <v>138</v>
      </c>
      <c r="CF1" s="63" t="s">
        <v>18</v>
      </c>
      <c r="CG1" s="63" t="s">
        <v>7</v>
      </c>
      <c r="CH1" s="62" t="s">
        <v>71</v>
      </c>
      <c r="CI1" s="62" t="s">
        <v>139</v>
      </c>
      <c r="CJ1" s="63" t="s">
        <v>70</v>
      </c>
      <c r="CK1" s="61" t="s">
        <v>19</v>
      </c>
      <c r="CL1" s="61" t="s">
        <v>152</v>
      </c>
      <c r="CM1" s="79">
        <v>0.1</v>
      </c>
      <c r="CN1" s="64" t="s">
        <v>185</v>
      </c>
      <c r="CQ1" s="60" t="s">
        <v>1</v>
      </c>
      <c r="CR1" s="60" t="s">
        <v>134</v>
      </c>
      <c r="CS1" s="59" t="s">
        <v>175</v>
      </c>
      <c r="CT1" s="61" t="s">
        <v>2</v>
      </c>
      <c r="CU1" s="62" t="s">
        <v>125</v>
      </c>
      <c r="CV1" s="62" t="s">
        <v>126</v>
      </c>
      <c r="CW1" s="63" t="s">
        <v>4</v>
      </c>
      <c r="CX1" s="63" t="s">
        <v>5</v>
      </c>
      <c r="CY1" s="63" t="s">
        <v>6</v>
      </c>
      <c r="CZ1" s="63" t="s">
        <v>7</v>
      </c>
      <c r="DA1" s="62" t="s">
        <v>12</v>
      </c>
      <c r="DB1" s="62" t="s">
        <v>126</v>
      </c>
      <c r="DC1" s="63" t="s">
        <v>13</v>
      </c>
      <c r="DD1" s="63" t="s">
        <v>14</v>
      </c>
      <c r="DE1" s="62" t="s">
        <v>15</v>
      </c>
      <c r="DF1" s="62" t="s">
        <v>136</v>
      </c>
      <c r="DG1" s="63" t="s">
        <v>16</v>
      </c>
      <c r="DH1" s="62" t="s">
        <v>8</v>
      </c>
      <c r="DI1" s="62" t="s">
        <v>137</v>
      </c>
      <c r="DJ1" s="63" t="s">
        <v>9</v>
      </c>
      <c r="DK1" s="63" t="s">
        <v>10</v>
      </c>
      <c r="DL1" s="63" t="s">
        <v>11</v>
      </c>
      <c r="DM1" s="63" t="s">
        <v>7</v>
      </c>
      <c r="DN1" s="62" t="s">
        <v>17</v>
      </c>
      <c r="DO1" s="62" t="s">
        <v>138</v>
      </c>
      <c r="DP1" s="63" t="s">
        <v>18</v>
      </c>
      <c r="DQ1" s="63" t="s">
        <v>7</v>
      </c>
      <c r="DR1" s="62" t="s">
        <v>71</v>
      </c>
      <c r="DS1" s="62" t="s">
        <v>139</v>
      </c>
      <c r="DT1" s="63" t="s">
        <v>70</v>
      </c>
      <c r="DU1" s="61" t="s">
        <v>19</v>
      </c>
      <c r="DV1" s="61" t="s">
        <v>152</v>
      </c>
      <c r="DW1" s="79">
        <v>0.1</v>
      </c>
      <c r="EA1" s="60" t="s">
        <v>1</v>
      </c>
      <c r="EB1" s="60" t="s">
        <v>134</v>
      </c>
      <c r="EC1" s="59" t="s">
        <v>176</v>
      </c>
      <c r="ED1" s="61" t="s">
        <v>2</v>
      </c>
      <c r="EE1" s="62" t="s">
        <v>125</v>
      </c>
      <c r="EF1" s="62" t="s">
        <v>126</v>
      </c>
      <c r="EG1" s="63" t="s">
        <v>4</v>
      </c>
      <c r="EH1" s="63" t="s">
        <v>5</v>
      </c>
      <c r="EI1" s="63" t="s">
        <v>6</v>
      </c>
      <c r="EJ1" s="63" t="s">
        <v>7</v>
      </c>
      <c r="EK1" s="62" t="s">
        <v>12</v>
      </c>
      <c r="EL1" s="62" t="s">
        <v>126</v>
      </c>
      <c r="EM1" s="63" t="s">
        <v>13</v>
      </c>
      <c r="EN1" s="63" t="s">
        <v>14</v>
      </c>
      <c r="EO1" s="62" t="s">
        <v>15</v>
      </c>
      <c r="EP1" s="62" t="s">
        <v>136</v>
      </c>
      <c r="EQ1" s="63" t="s">
        <v>16</v>
      </c>
      <c r="ER1" s="62" t="s">
        <v>8</v>
      </c>
      <c r="ES1" s="62" t="s">
        <v>137</v>
      </c>
      <c r="ET1" s="63" t="s">
        <v>9</v>
      </c>
      <c r="EU1" s="63" t="s">
        <v>10</v>
      </c>
      <c r="EV1" s="63" t="s">
        <v>11</v>
      </c>
      <c r="EW1" s="63" t="s">
        <v>7</v>
      </c>
      <c r="EX1" s="62" t="s">
        <v>17</v>
      </c>
      <c r="EY1" s="62" t="s">
        <v>138</v>
      </c>
      <c r="EZ1" s="63" t="s">
        <v>18</v>
      </c>
      <c r="FA1" s="63" t="s">
        <v>7</v>
      </c>
      <c r="FB1" s="62" t="s">
        <v>71</v>
      </c>
      <c r="FC1" s="62" t="s">
        <v>139</v>
      </c>
      <c r="FD1" s="63" t="s">
        <v>70</v>
      </c>
      <c r="FE1" s="61" t="s">
        <v>19</v>
      </c>
      <c r="FF1" s="61" t="s">
        <v>152</v>
      </c>
      <c r="FG1" s="79">
        <v>0.1</v>
      </c>
      <c r="FK1" s="60" t="s">
        <v>1</v>
      </c>
      <c r="FL1" s="60" t="s">
        <v>134</v>
      </c>
      <c r="FM1" s="59" t="s">
        <v>143</v>
      </c>
      <c r="FN1" s="61" t="s">
        <v>2</v>
      </c>
      <c r="FO1" s="62" t="s">
        <v>125</v>
      </c>
      <c r="FP1" s="62" t="s">
        <v>126</v>
      </c>
      <c r="FQ1" s="63" t="s">
        <v>4</v>
      </c>
      <c r="FR1" s="63" t="s">
        <v>5</v>
      </c>
      <c r="FS1" s="63" t="s">
        <v>6</v>
      </c>
      <c r="FT1" s="63" t="s">
        <v>7</v>
      </c>
      <c r="FU1" s="62" t="s">
        <v>12</v>
      </c>
      <c r="FV1" s="62" t="s">
        <v>126</v>
      </c>
      <c r="FW1" s="63" t="s">
        <v>13</v>
      </c>
      <c r="FX1" s="63" t="s">
        <v>14</v>
      </c>
      <c r="FY1" s="62" t="s">
        <v>15</v>
      </c>
      <c r="FZ1" s="62" t="s">
        <v>136</v>
      </c>
      <c r="GA1" s="63" t="s">
        <v>16</v>
      </c>
      <c r="GB1" s="62" t="s">
        <v>8</v>
      </c>
      <c r="GC1" s="62" t="s">
        <v>137</v>
      </c>
      <c r="GD1" s="63" t="s">
        <v>9</v>
      </c>
      <c r="GE1" s="63" t="s">
        <v>10</v>
      </c>
      <c r="GF1" s="63" t="s">
        <v>11</v>
      </c>
      <c r="GG1" s="63" t="s">
        <v>7</v>
      </c>
      <c r="GH1" s="62" t="s">
        <v>17</v>
      </c>
      <c r="GI1" s="62" t="s">
        <v>138</v>
      </c>
      <c r="GJ1" s="63" t="s">
        <v>18</v>
      </c>
      <c r="GK1" s="63" t="s">
        <v>7</v>
      </c>
      <c r="GL1" s="62" t="s">
        <v>71</v>
      </c>
      <c r="GM1" s="62" t="s">
        <v>139</v>
      </c>
      <c r="GN1" s="63" t="s">
        <v>70</v>
      </c>
      <c r="GO1" s="61" t="s">
        <v>19</v>
      </c>
      <c r="GP1" s="61" t="s">
        <v>152</v>
      </c>
      <c r="GQ1" s="79">
        <v>0.1</v>
      </c>
      <c r="GU1" s="60" t="s">
        <v>153</v>
      </c>
      <c r="GV1" s="60" t="s">
        <v>134</v>
      </c>
      <c r="GW1" s="59" t="s">
        <v>148</v>
      </c>
      <c r="GX1" s="61" t="s">
        <v>2</v>
      </c>
      <c r="GY1" s="62" t="s">
        <v>125</v>
      </c>
      <c r="GZ1" s="62" t="s">
        <v>126</v>
      </c>
      <c r="HA1" s="63" t="s">
        <v>4</v>
      </c>
      <c r="HB1" s="63" t="s">
        <v>5</v>
      </c>
      <c r="HC1" s="63" t="s">
        <v>6</v>
      </c>
      <c r="HD1" s="63" t="s">
        <v>7</v>
      </c>
      <c r="HE1" s="62" t="s">
        <v>12</v>
      </c>
      <c r="HF1" s="62" t="s">
        <v>126</v>
      </c>
      <c r="HG1" s="63" t="s">
        <v>13</v>
      </c>
      <c r="HH1" s="63" t="s">
        <v>14</v>
      </c>
      <c r="HI1" s="62" t="s">
        <v>15</v>
      </c>
      <c r="HJ1" s="62" t="s">
        <v>136</v>
      </c>
      <c r="HK1" s="63" t="s">
        <v>16</v>
      </c>
      <c r="HL1" s="62" t="s">
        <v>8</v>
      </c>
      <c r="HM1" s="62" t="s">
        <v>137</v>
      </c>
      <c r="HN1" s="63" t="s">
        <v>9</v>
      </c>
      <c r="HO1" s="63" t="s">
        <v>10</v>
      </c>
      <c r="HP1" s="63" t="s">
        <v>11</v>
      </c>
      <c r="HQ1" s="63" t="s">
        <v>7</v>
      </c>
      <c r="HR1" s="62" t="s">
        <v>17</v>
      </c>
      <c r="HS1" s="62" t="s">
        <v>138</v>
      </c>
      <c r="HT1" s="63" t="s">
        <v>18</v>
      </c>
      <c r="HU1" s="63" t="s">
        <v>7</v>
      </c>
      <c r="HV1" s="62" t="s">
        <v>71</v>
      </c>
      <c r="HW1" s="62" t="s">
        <v>139</v>
      </c>
      <c r="HX1" s="63" t="s">
        <v>70</v>
      </c>
      <c r="HY1" s="61" t="s">
        <v>19</v>
      </c>
      <c r="HZ1" s="61" t="s">
        <v>152</v>
      </c>
      <c r="IA1" s="79">
        <v>0.1</v>
      </c>
      <c r="IE1" s="60" t="s">
        <v>153</v>
      </c>
      <c r="IF1" s="60" t="s">
        <v>134</v>
      </c>
      <c r="IG1" s="59" t="s">
        <v>149</v>
      </c>
      <c r="IH1" s="61" t="s">
        <v>2</v>
      </c>
      <c r="II1" s="62" t="s">
        <v>125</v>
      </c>
      <c r="IJ1" s="62" t="s">
        <v>126</v>
      </c>
      <c r="IK1" s="63" t="s">
        <v>4</v>
      </c>
      <c r="IL1" s="63" t="s">
        <v>5</v>
      </c>
      <c r="IM1" s="63" t="s">
        <v>6</v>
      </c>
      <c r="IN1" s="63" t="s">
        <v>7</v>
      </c>
      <c r="IO1" s="62" t="s">
        <v>12</v>
      </c>
      <c r="IP1" s="62" t="s">
        <v>126</v>
      </c>
      <c r="IQ1" s="63" t="s">
        <v>13</v>
      </c>
      <c r="IR1" s="63" t="s">
        <v>14</v>
      </c>
      <c r="IS1" s="62" t="s">
        <v>15</v>
      </c>
      <c r="IT1" s="62" t="s">
        <v>136</v>
      </c>
      <c r="IU1" s="63" t="s">
        <v>16</v>
      </c>
      <c r="IV1" s="62" t="s">
        <v>8</v>
      </c>
      <c r="IW1" s="62" t="s">
        <v>137</v>
      </c>
      <c r="IX1" s="63" t="s">
        <v>9</v>
      </c>
      <c r="IY1" s="63" t="s">
        <v>10</v>
      </c>
      <c r="IZ1" s="63" t="s">
        <v>11</v>
      </c>
      <c r="JA1" s="63" t="s">
        <v>7</v>
      </c>
      <c r="JB1" s="62" t="s">
        <v>17</v>
      </c>
      <c r="JC1" s="62" t="s">
        <v>138</v>
      </c>
      <c r="JD1" s="63" t="s">
        <v>18</v>
      </c>
      <c r="JE1" s="63" t="s">
        <v>7</v>
      </c>
      <c r="JF1" s="62" t="s">
        <v>71</v>
      </c>
      <c r="JG1" s="62" t="s">
        <v>139</v>
      </c>
      <c r="JH1" s="63" t="s">
        <v>70</v>
      </c>
      <c r="JI1" s="61" t="s">
        <v>19</v>
      </c>
      <c r="JJ1" s="61" t="s">
        <v>152</v>
      </c>
      <c r="JK1" s="79">
        <v>0.1</v>
      </c>
      <c r="JO1" s="60" t="s">
        <v>153</v>
      </c>
      <c r="JP1" s="60" t="s">
        <v>134</v>
      </c>
      <c r="JQ1" s="59" t="s">
        <v>150</v>
      </c>
      <c r="JR1" s="61" t="s">
        <v>2</v>
      </c>
      <c r="JS1" s="62" t="s">
        <v>125</v>
      </c>
      <c r="JT1" s="62" t="s">
        <v>126</v>
      </c>
      <c r="JU1" s="63" t="s">
        <v>4</v>
      </c>
      <c r="JV1" s="63" t="s">
        <v>5</v>
      </c>
      <c r="JW1" s="63" t="s">
        <v>6</v>
      </c>
      <c r="JX1" s="63" t="s">
        <v>7</v>
      </c>
      <c r="JY1" s="62" t="s">
        <v>12</v>
      </c>
      <c r="JZ1" s="62" t="s">
        <v>126</v>
      </c>
      <c r="KA1" s="63" t="s">
        <v>13</v>
      </c>
      <c r="KB1" s="63" t="s">
        <v>14</v>
      </c>
      <c r="KC1" s="62" t="s">
        <v>15</v>
      </c>
      <c r="KD1" s="62" t="s">
        <v>136</v>
      </c>
      <c r="KE1" s="63" t="s">
        <v>16</v>
      </c>
      <c r="KF1" s="62" t="s">
        <v>8</v>
      </c>
      <c r="KG1" s="62" t="s">
        <v>137</v>
      </c>
      <c r="KH1" s="63" t="s">
        <v>9</v>
      </c>
      <c r="KI1" s="63" t="s">
        <v>10</v>
      </c>
      <c r="KJ1" s="63" t="s">
        <v>11</v>
      </c>
      <c r="KK1" s="63" t="s">
        <v>7</v>
      </c>
      <c r="KL1" s="62" t="s">
        <v>17</v>
      </c>
      <c r="KM1" s="62" t="s">
        <v>138</v>
      </c>
      <c r="KN1" s="63" t="s">
        <v>18</v>
      </c>
      <c r="KO1" s="63" t="s">
        <v>7</v>
      </c>
      <c r="KP1" s="62" t="s">
        <v>71</v>
      </c>
      <c r="KQ1" s="62" t="s">
        <v>139</v>
      </c>
      <c r="KR1" s="63" t="s">
        <v>70</v>
      </c>
      <c r="KS1" s="61" t="s">
        <v>19</v>
      </c>
      <c r="KT1" s="61" t="s">
        <v>152</v>
      </c>
      <c r="KU1" s="79">
        <v>0.1</v>
      </c>
      <c r="KY1" s="60" t="s">
        <v>153</v>
      </c>
      <c r="KZ1" s="60" t="s">
        <v>134</v>
      </c>
      <c r="LA1" s="59" t="s">
        <v>151</v>
      </c>
      <c r="LB1" s="61" t="s">
        <v>2</v>
      </c>
      <c r="LC1" s="62" t="s">
        <v>125</v>
      </c>
      <c r="LD1" s="62" t="s">
        <v>126</v>
      </c>
      <c r="LE1" s="63" t="s">
        <v>4</v>
      </c>
      <c r="LF1" s="63" t="s">
        <v>5</v>
      </c>
      <c r="LG1" s="63" t="s">
        <v>6</v>
      </c>
      <c r="LH1" s="63" t="s">
        <v>7</v>
      </c>
      <c r="LI1" s="62" t="s">
        <v>12</v>
      </c>
      <c r="LJ1" s="62" t="s">
        <v>126</v>
      </c>
      <c r="LK1" s="63" t="s">
        <v>13</v>
      </c>
      <c r="LL1" s="63" t="s">
        <v>14</v>
      </c>
      <c r="LM1" s="62" t="s">
        <v>15</v>
      </c>
      <c r="LN1" s="62" t="s">
        <v>136</v>
      </c>
      <c r="LO1" s="63" t="s">
        <v>16</v>
      </c>
      <c r="LP1" s="62" t="s">
        <v>8</v>
      </c>
      <c r="LQ1" s="62" t="s">
        <v>137</v>
      </c>
      <c r="LR1" s="63" t="s">
        <v>9</v>
      </c>
      <c r="LS1" s="63" t="s">
        <v>10</v>
      </c>
      <c r="LT1" s="63" t="s">
        <v>11</v>
      </c>
      <c r="LU1" s="63" t="s">
        <v>7</v>
      </c>
      <c r="LV1" s="62" t="s">
        <v>17</v>
      </c>
      <c r="LW1" s="62" t="s">
        <v>138</v>
      </c>
      <c r="LX1" s="63" t="s">
        <v>18</v>
      </c>
      <c r="LY1" s="63" t="s">
        <v>7</v>
      </c>
      <c r="LZ1" s="62" t="s">
        <v>71</v>
      </c>
      <c r="MA1" s="62" t="s">
        <v>139</v>
      </c>
      <c r="MB1" s="63" t="s">
        <v>70</v>
      </c>
      <c r="MC1" s="61" t="s">
        <v>19</v>
      </c>
      <c r="MD1" s="61" t="s">
        <v>152</v>
      </c>
      <c r="ME1" s="79">
        <v>0.1</v>
      </c>
    </row>
    <row r="2" spans="1:343" s="64" customFormat="1" ht="11.25" x14ac:dyDescent="0.2">
      <c r="A2" s="64">
        <v>439</v>
      </c>
      <c r="B2" s="84">
        <v>43598</v>
      </c>
      <c r="C2" s="143" t="s">
        <v>188</v>
      </c>
      <c r="D2" s="143" t="s">
        <v>131</v>
      </c>
      <c r="E2" s="143" t="s">
        <v>190</v>
      </c>
      <c r="F2" s="65" t="s">
        <v>127</v>
      </c>
      <c r="G2" s="139">
        <v>34496.237735731018</v>
      </c>
      <c r="H2" s="118">
        <f t="shared" ref="H2:H3" si="0">IF(BB2="TWO WAY",I2*2,I2*1)</f>
        <v>885</v>
      </c>
      <c r="I2" s="78">
        <v>885</v>
      </c>
      <c r="J2" s="66">
        <v>1976</v>
      </c>
      <c r="K2" s="81">
        <v>2.1</v>
      </c>
      <c r="L2" s="83">
        <v>8</v>
      </c>
      <c r="M2" s="80">
        <f t="shared" ref="M2:M3" si="1">IFERROR(IF(F2="Viaje Full",2.1,IF(F2="Viaje Sencillo",1.9)),"Revisar")</f>
        <v>1.9</v>
      </c>
      <c r="N2" s="67">
        <f t="shared" ref="N2:N3" si="2">G2</f>
        <v>34496.237735731018</v>
      </c>
      <c r="O2" s="68">
        <f t="shared" ref="O2:O3" si="3">(X2+AK2+AD2+AH2+AQ2+AU2)/L2</f>
        <v>31043.160153109191</v>
      </c>
      <c r="P2" s="68">
        <f t="shared" ref="P2:P3" si="4">N2-O2</f>
        <v>3453.0775826218269</v>
      </c>
      <c r="Q2" s="141">
        <f t="shared" ref="Q2:Q3" si="5">H2*L2</f>
        <v>7080</v>
      </c>
      <c r="R2" s="141">
        <f t="shared" ref="R2:R3" si="6">H2/K2</f>
        <v>421.42857142857139</v>
      </c>
      <c r="S2" s="141">
        <f t="shared" ref="S2:S3" si="7">G2/H2</f>
        <v>38.978799701390983</v>
      </c>
      <c r="T2" s="141">
        <f t="shared" ref="T2:T3" si="8">O2/H2</f>
        <v>35.07701712215728</v>
      </c>
      <c r="U2" s="141">
        <f t="shared" ref="U2:U3" si="9">(AX2/L2)/H2</f>
        <v>3.9017825792337026</v>
      </c>
      <c r="V2" s="59"/>
      <c r="W2" s="127">
        <f t="shared" ref="W2:W3" si="10">+L2*N2</f>
        <v>275969.90188584814</v>
      </c>
      <c r="X2" s="126">
        <f t="shared" ref="X2:X3" si="11">Z2+AA2+AB2+AC2</f>
        <v>107364.92095757576</v>
      </c>
      <c r="Y2" s="70">
        <f t="shared" ref="Y2:Y3" si="12">X2/W2</f>
        <v>0.38904576268605573</v>
      </c>
      <c r="Z2" s="72">
        <f>R2*L2*'ER18'!$BD$3</f>
        <v>70800</v>
      </c>
      <c r="AA2" s="72">
        <f>IF(BB2="TWO WAY",(J2*2*L2)*'ER18'!$BD$6,(J2*1*L2)*'ER18'!$BD$6)</f>
        <v>17072.64</v>
      </c>
      <c r="AB2" s="72">
        <f t="shared" ref="AB2:AB3" si="13">H2*M2*L2</f>
        <v>13452</v>
      </c>
      <c r="AC2" s="74">
        <f>'ER18'!$BD$129/'ER18'!$BD$8</f>
        <v>6040.2809575757583</v>
      </c>
      <c r="AD2" s="126">
        <f t="shared" ref="AD2:AD3" si="14">SUM(AF2:AG2)</f>
        <v>16277.567324506665</v>
      </c>
      <c r="AE2" s="76">
        <f t="shared" ref="AE2:AE3" si="15">AD2/W2</f>
        <v>5.8983125381693612E-2</v>
      </c>
      <c r="AF2" s="72">
        <f>'ER18'!$BD$132/'ER18'!$BD$8</f>
        <v>11764.15967760121</v>
      </c>
      <c r="AG2" s="72">
        <f>'ER18'!$BD$133/'ER18'!$BD$8</f>
        <v>4513.4076469054553</v>
      </c>
      <c r="AH2" s="126">
        <f t="shared" ref="AH2:AH3" si="16">AJ2</f>
        <v>3143.4067515151514</v>
      </c>
      <c r="AI2" s="76">
        <f t="shared" ref="AI2:AI3" si="17">AH2/W2</f>
        <v>1.1390397032555333E-2</v>
      </c>
      <c r="AJ2" s="75">
        <f>'ER18'!$BD$136/'ER18'!$BD$8</f>
        <v>3143.4067515151514</v>
      </c>
      <c r="AK2" s="126">
        <f t="shared" ref="AK2:AK3" si="18">SUM(AM2:AP2)</f>
        <v>89021.581233022764</v>
      </c>
      <c r="AL2" s="76">
        <f t="shared" ref="AL2:AL3" si="19">AK2/W2</f>
        <v>0.32257713839332214</v>
      </c>
      <c r="AM2" s="65">
        <f>'ER18'!$BD$139/'ER18'!$BD$5</f>
        <v>65524.036435185197</v>
      </c>
      <c r="AN2" s="75">
        <f>'ER18'!$BD$140/'ER18'!$BD$8</f>
        <v>13161.451340606063</v>
      </c>
      <c r="AO2" s="65">
        <f>'ER18'!$BD$141/'ER18'!$BD$8</f>
        <v>8564.4664969696969</v>
      </c>
      <c r="AP2" s="75">
        <f>'ER18'!$BD$142/'ER18'!$BD$8</f>
        <v>1771.6269602618183</v>
      </c>
      <c r="AQ2" s="126">
        <f t="shared" ref="AQ2:AQ3" si="20">SUM(AS2:AT2)</f>
        <v>16591.309865660605</v>
      </c>
      <c r="AR2" s="76">
        <f t="shared" ref="AR2:AR3" si="21">AQ2/W2</f>
        <v>6.0119997696427833E-2</v>
      </c>
      <c r="AS2" s="75">
        <f>('ER18'!$BD$145)/'ER18'!$BD$8</f>
        <v>12141.341139393939</v>
      </c>
      <c r="AT2" s="75">
        <f>'ER18'!$BD$146/'ER18'!$BD$8</f>
        <v>4449.9687262666666</v>
      </c>
      <c r="AU2" s="126">
        <f t="shared" ref="AU2" si="22">SUM(AW2)</f>
        <v>15946.495092592593</v>
      </c>
      <c r="AV2" s="76">
        <f t="shared" ref="AV2:AV3" si="23">AU2/W2</f>
        <v>5.7783457484391475E-2</v>
      </c>
      <c r="AW2" s="65">
        <f>'ER18'!$BD$149/'ER18'!$BD$5</f>
        <v>15946.495092592593</v>
      </c>
      <c r="AX2" s="77">
        <f t="shared" ref="AX2:AX3" si="24">W2-X2-AD2-AH2-AK2-AQ2-AU2</f>
        <v>27624.620660974615</v>
      </c>
      <c r="AY2" s="70">
        <f t="shared" ref="AY2:AY3" si="25">AX2/W2</f>
        <v>0.10010012132555393</v>
      </c>
      <c r="AZ2" s="64" t="str">
        <f t="shared" ref="AZ2:AZ3" si="26">IF(AY2&gt;$AZ$1,"ACEPTABLE","REVISAR % U.O.")</f>
        <v>ACEPTABLE</v>
      </c>
      <c r="BA2" s="74">
        <f t="shared" ref="BA2:BA3" si="27">624/+(((H2/65)+((H2/65)/14)*8)+8+8+8)</f>
        <v>13.745824255628177</v>
      </c>
      <c r="BB2" s="64" t="s">
        <v>181</v>
      </c>
      <c r="BD2" s="85">
        <v>0.10100000000000001</v>
      </c>
      <c r="BG2" s="68">
        <f t="shared" ref="BG2:BG3" si="28">(+BK2+BQ2+BU2+BX2+CD2+CH2)/L2</f>
        <v>30868.99850713693</v>
      </c>
      <c r="BH2" s="68">
        <f t="shared" ref="BH2:BH3" si="29">(CK2/L2)/H2</f>
        <v>4.0985753995413381</v>
      </c>
      <c r="BI2" s="59"/>
      <c r="BJ2" s="67">
        <f t="shared" ref="BJ2:BJ3" si="30">+L2*N2</f>
        <v>275969.90188584814</v>
      </c>
      <c r="BK2" s="69">
        <f t="shared" ref="BK2:BK3" si="31">BM2+BN2+BO2+BP2</f>
        <v>111168.35968253967</v>
      </c>
      <c r="BL2" s="70">
        <f t="shared" ref="BL2:BL3" si="32">BK2/BJ2</f>
        <v>0.40282784072780231</v>
      </c>
      <c r="BM2" s="71">
        <f>R2*L2*'ER18'!$D$3</f>
        <v>59606.857142857138</v>
      </c>
      <c r="BN2" s="72">
        <f>(J2*2*L2)*'ER18'!$D$6</f>
        <v>31616</v>
      </c>
      <c r="BO2" s="73">
        <f t="shared" ref="BO2:BO3" si="33">H2*M2*L2</f>
        <v>13452</v>
      </c>
      <c r="BP2" s="74">
        <f>SUM('ER18'!$D$129)/'ER18'!$D$8</f>
        <v>6493.5025396825395</v>
      </c>
      <c r="BQ2" s="75">
        <f t="shared" ref="BQ2:BQ3" si="34">SUM(BS2:BT2)</f>
        <v>17881.94554122222</v>
      </c>
      <c r="BR2" s="76">
        <f t="shared" ref="BR2:BR3" si="35">BQ2/BJ2</f>
        <v>6.4796723914548063E-2</v>
      </c>
      <c r="BS2" s="75">
        <f>('ER18'!$D$132)/'ER18'!$D$8</f>
        <v>13867.649826936507</v>
      </c>
      <c r="BT2" s="75">
        <f>('ER18'!$D$133)/'ER18'!$D$8</f>
        <v>4014.2957142857135</v>
      </c>
      <c r="BU2" s="75">
        <f t="shared" ref="BU2:BU3" si="36">BW2</f>
        <v>4932.3322222222223</v>
      </c>
      <c r="BV2" s="76">
        <f t="shared" ref="BV2:BV3" si="37">BU2/BJ2</f>
        <v>1.7872717961331979E-2</v>
      </c>
      <c r="BW2" s="75">
        <f>'ER18'!$D$136/'ER18'!$D$8</f>
        <v>4932.3322222222223</v>
      </c>
      <c r="BX2" s="75">
        <f t="shared" ref="BX2:BX3" si="38">SUM(BZ2:CC2)</f>
        <v>81019.172634920877</v>
      </c>
      <c r="BY2" s="76">
        <f t="shared" ref="BY2:BY3" si="39">BX2/BJ2</f>
        <v>0.29357974214316152</v>
      </c>
      <c r="BZ2" s="65">
        <f>('ER18'!$D$139)/'ER18'!$D$5</f>
        <v>56411.991111111354</v>
      </c>
      <c r="CA2" s="75">
        <f>'ER18'!$D$140/'ER18'!$D$8</f>
        <v>10217.731523809523</v>
      </c>
      <c r="CB2" s="65">
        <f>('ER18'!$D$141)/'ER18'!$D$8</f>
        <v>12246.49857142857</v>
      </c>
      <c r="CC2" s="75">
        <f>('ER18'!$D$142)/'ER18'!$D$8</f>
        <v>2142.9514285714286</v>
      </c>
      <c r="CD2" s="75">
        <f t="shared" ref="CD2:CD3" si="40">SUM(CF2:CG2)</f>
        <v>15157.73714285714</v>
      </c>
      <c r="CE2" s="76">
        <f t="shared" ref="CE2:CE3" si="41">CD2/BJ2</f>
        <v>5.492532714356281E-2</v>
      </c>
      <c r="CF2" s="75">
        <f>('ER18'!$D$145)/'ER18'!$D$8</f>
        <v>11368.493968253966</v>
      </c>
      <c r="CG2" s="75">
        <f>('ER18'!$D$146)/'ER18'!$D$8</f>
        <v>3789.2431746031748</v>
      </c>
      <c r="CH2" s="75">
        <f t="shared" ref="CH2" si="42">SUM(CJ2)</f>
        <v>16792.44083333333</v>
      </c>
      <c r="CI2" s="76">
        <f t="shared" ref="CI2:CI3" si="43">CH2/BJ2</f>
        <v>6.0848812564637339E-2</v>
      </c>
      <c r="CJ2" s="65">
        <f>'ER18'!$D$149/'ER18'!$D$5</f>
        <v>16792.44083333333</v>
      </c>
      <c r="CK2" s="77">
        <f t="shared" ref="CK2:CK3" si="44">BJ2-BK2-BQ2-BU2-BX2-CD2-CH2</f>
        <v>29017.913828752677</v>
      </c>
      <c r="CL2" s="70">
        <f t="shared" ref="CL2:CL3" si="45">CK2/BJ2</f>
        <v>0.10514883554495595</v>
      </c>
      <c r="CM2" s="64" t="str">
        <f t="shared" ref="CM2:CM3" si="46">IF(CL2&gt;$AZ$1,"ACEPTABLE","REVISAR % U.O.")</f>
        <v>ACEPTABLE</v>
      </c>
      <c r="CQ2" s="68">
        <f t="shared" ref="CQ2:CQ3" si="47">(+CU2+DA2+DE2+DH2+DN2+DR2)/L2</f>
        <v>32120.235650861014</v>
      </c>
      <c r="CR2" s="68" t="e">
        <f>(DU2/#REF!)/H2</f>
        <v>#REF!</v>
      </c>
      <c r="CS2" s="59"/>
      <c r="CT2" s="67">
        <f t="shared" ref="CT2:CT3" si="48">L2*N2</f>
        <v>275969.90188584814</v>
      </c>
      <c r="CU2" s="69">
        <f t="shared" ref="CU2:CU3" si="49">CW2+CX2+CY2+CZ2</f>
        <v>110778.09081932771</v>
      </c>
      <c r="CV2" s="70">
        <f t="shared" ref="CV2:CV3" si="50">CU2/CT2</f>
        <v>0.40141366889042063</v>
      </c>
      <c r="CW2" s="71">
        <f>R2*L2*'ER18'!$H$3</f>
        <v>59606.857142857138</v>
      </c>
      <c r="CX2" s="72">
        <f>(J2*2*L2)*'ER18'!$D$6</f>
        <v>31616</v>
      </c>
      <c r="CY2" s="73">
        <f t="shared" ref="CY2:CY3" si="51">H2*M2*L2</f>
        <v>13452</v>
      </c>
      <c r="CZ2" s="74">
        <f>SUM('ER18'!$H$129)/'ER18'!$H$8</f>
        <v>6103.2336764705869</v>
      </c>
      <c r="DA2" s="75">
        <f t="shared" ref="DA2:DA3" si="52">SUM(DC2:DD2)</f>
        <v>15890.227561588235</v>
      </c>
      <c r="DB2" s="76">
        <f t="shared" ref="DB2:DB3" si="53">DA2/CT2</f>
        <v>5.7579567383986133E-2</v>
      </c>
      <c r="DC2" s="75">
        <f>('ER18'!$H$132)/'ER18'!$H$8</f>
        <v>10468.572014529411</v>
      </c>
      <c r="DD2" s="75">
        <f>('ER18'!$H$133)/'ER18'!$H$8</f>
        <v>5421.6555470588237</v>
      </c>
      <c r="DE2" s="75">
        <f t="shared" ref="DE2:DE3" si="54">DG2</f>
        <v>2500.0539705882352</v>
      </c>
      <c r="DF2" s="76">
        <f t="shared" ref="DF2:DF3" si="55">DE2/CT2</f>
        <v>9.059154471208801E-3</v>
      </c>
      <c r="DG2" s="75">
        <f>'ER18'!$H$136/'ER18'!$H$8</f>
        <v>2500.0539705882352</v>
      </c>
      <c r="DH2" s="75">
        <f t="shared" ref="DH2:DH3" si="56">SUM(DJ2:DM2)</f>
        <v>95134.918468129006</v>
      </c>
      <c r="DI2" s="76">
        <f t="shared" ref="DI2:DI3" si="57">DH2/CT2</f>
        <v>0.34472932670563655</v>
      </c>
      <c r="DJ2" s="65">
        <f>('ER18'!$H$139)/'ER18'!$H$5</f>
        <v>67357.519305555485</v>
      </c>
      <c r="DK2" s="75">
        <f>'ER18'!$H$140/'ER18'!$H$8</f>
        <v>13076.644264705883</v>
      </c>
      <c r="DL2" s="65">
        <f>('ER18'!$H$141)/'ER18'!$H$8</f>
        <v>12538.56705882353</v>
      </c>
      <c r="DM2" s="75">
        <f>('ER18'!$H$142)/'ER18'!$H$8</f>
        <v>2162.1878390441175</v>
      </c>
      <c r="DN2" s="75">
        <f t="shared" ref="DN2:DN3" si="58">SUM(DP2:DQ2)</f>
        <v>16568.131470588232</v>
      </c>
      <c r="DO2" s="76">
        <f t="shared" ref="DO2:DO3" si="59">DN2/CT2</f>
        <v>6.0036008845056783E-2</v>
      </c>
      <c r="DP2" s="75">
        <f>('ER18'!$H$145)/'ER18'!$H$8</f>
        <v>11364.528529411764</v>
      </c>
      <c r="DQ2" s="75">
        <f>('ER18'!$H$146)/'ER18'!$H$8</f>
        <v>5203.6029411764703</v>
      </c>
      <c r="DR2" s="75">
        <f t="shared" ref="DR2" si="60">SUM(DT2)</f>
        <v>16090.462916666667</v>
      </c>
      <c r="DS2" s="76">
        <f t="shared" ref="DS2:DS3" si="61">DR2/CT2</f>
        <v>5.8305136925121299E-2</v>
      </c>
      <c r="DT2" s="65">
        <f>'ER18'!$H$149/'ER18'!$H$5</f>
        <v>16090.462916666667</v>
      </c>
      <c r="DU2" s="77">
        <f t="shared" ref="DU2:DU3" si="62">CT2-CU2-DA2-DE2-DH2-DN2-DR2</f>
        <v>19008.016678960073</v>
      </c>
      <c r="DV2" s="70">
        <f t="shared" ref="DV2:DV3" si="63">DU2/CT2</f>
        <v>6.8877136778569881E-2</v>
      </c>
      <c r="DW2" s="64" t="str">
        <f t="shared" ref="DW2:DW3" si="64">IF(DV2&gt;$AZ$1,"ACEPTABLE","REVISAR % U.O.")</f>
        <v>REVISAR % U.O.</v>
      </c>
      <c r="EA2" s="68">
        <f t="shared" ref="EA2:EA3" si="65">(+EE2+EK2+EO2+ER2+EX2+FB2)/L2</f>
        <v>31853.299106876348</v>
      </c>
      <c r="EB2" s="68">
        <f t="shared" ref="EB2:EB3" si="66">(FE2/L2)/H2</f>
        <v>2.9863713320391727</v>
      </c>
      <c r="EC2" s="59"/>
      <c r="ED2" s="67">
        <f t="shared" ref="ED2:ED3" si="67">L2*N2</f>
        <v>275969.90188584814</v>
      </c>
      <c r="EE2" s="69">
        <f t="shared" ref="EE2:EE3" si="68">EG2+EH2+EI2+EJ2</f>
        <v>110101.72796477494</v>
      </c>
      <c r="EF2" s="70">
        <f t="shared" ref="EF2:EF3" si="69">EE2/ED2</f>
        <v>0.39896281156891261</v>
      </c>
      <c r="EG2" s="71">
        <f>R2*L2*'ER18'!$L$3</f>
        <v>59606.857142857138</v>
      </c>
      <c r="EH2" s="72">
        <f>(J2*2*L2)*'ER18'!$L$6</f>
        <v>31616</v>
      </c>
      <c r="EI2" s="73">
        <f t="shared" ref="EI2:EI3" si="70">H2*M2*L2</f>
        <v>13452</v>
      </c>
      <c r="EJ2" s="74">
        <f>SUM('ER18'!$L$129)/'ER18'!$L$8</f>
        <v>5426.8708219178088</v>
      </c>
      <c r="EK2" s="75">
        <f t="shared" ref="EK2:EK3" si="71">SUM(EM2:EN2)</f>
        <v>17639.699749452055</v>
      </c>
      <c r="EL2" s="76">
        <f t="shared" ref="EL2:EL3" si="72">EK2/ED2</f>
        <v>6.3918926045596514E-2</v>
      </c>
      <c r="EM2" s="75">
        <f>('ER18'!$L$132)/'ER18'!$L$8</f>
        <v>12589.390472739726</v>
      </c>
      <c r="EN2" s="75">
        <f>('ER18'!$L$133)/'ER18'!$L$8</f>
        <v>5050.3092767123289</v>
      </c>
      <c r="EO2" s="75">
        <f t="shared" ref="EO2:EO3" si="73">EQ2</f>
        <v>2328.8173972602735</v>
      </c>
      <c r="EP2" s="76">
        <f t="shared" ref="EP2:EP3" si="74">EO2/ED2</f>
        <v>8.4386644389342243E-3</v>
      </c>
      <c r="EQ2" s="75">
        <f>'ER18'!$L$136/'ER18'!$L$8</f>
        <v>2328.8173972602735</v>
      </c>
      <c r="ER2" s="75">
        <f t="shared" ref="ER2:ER3" si="75">SUM(ET2:EW2)</f>
        <v>93232.356881651373</v>
      </c>
      <c r="ES2" s="76">
        <f t="shared" ref="ES2:ES3" si="76">ER2/ED2</f>
        <v>0.33783523581573721</v>
      </c>
      <c r="ET2" s="65">
        <f>('ER18'!$L$139)/'ER18'!$L$5</f>
        <v>67357.519305555485</v>
      </c>
      <c r="EU2" s="75">
        <f>'ER18'!$L$140/'ER18'!$L$8</f>
        <v>12180.983698630138</v>
      </c>
      <c r="EV2" s="65">
        <f>('ER18'!$L$141)/'ER18'!$L$8</f>
        <v>11679.761095890412</v>
      </c>
      <c r="EW2" s="75">
        <f>('ER18'!$L$142)/'ER18'!$L$8</f>
        <v>2014.0927815753425</v>
      </c>
      <c r="EX2" s="75">
        <f t="shared" ref="EX2:EX3" si="77">SUM(EZ2:FA2)</f>
        <v>15433.327945205478</v>
      </c>
      <c r="EY2" s="76">
        <f t="shared" ref="EY2:EY3" si="78">EX2/ED2</f>
        <v>5.5923953444710434E-2</v>
      </c>
      <c r="EZ2" s="75">
        <f>('ER18'!$L$145)/'ER18'!$L$8</f>
        <v>10586.136164383561</v>
      </c>
      <c r="FA2" s="75">
        <f>('ER18'!$L$146)/'ER18'!$L$8</f>
        <v>4847.1917808219177</v>
      </c>
      <c r="FB2" s="75">
        <f t="shared" ref="FB2" si="79">SUM(FD2)</f>
        <v>16090.462916666667</v>
      </c>
      <c r="FC2" s="76">
        <f t="shared" ref="FC2:FC3" si="80">FB2/ED2</f>
        <v>5.8305136925121299E-2</v>
      </c>
      <c r="FD2" s="65">
        <f>'ER18'!$L$149/'ER18'!$L$5</f>
        <v>16090.462916666667</v>
      </c>
      <c r="FE2" s="77">
        <f t="shared" ref="FE2:FE3" si="81">ED2-EE2-EK2-EO2-ER2-EX2-FB2</f>
        <v>21143.509030837344</v>
      </c>
      <c r="FF2" s="70">
        <f t="shared" ref="FF2:FF3" si="82">FE2/ED2</f>
        <v>7.6615271760987619E-2</v>
      </c>
      <c r="FG2" s="64" t="str">
        <f t="shared" ref="FG2:FG3" si="83">IF(FF2&gt;$AZ$1,"ACEPTABLE","REVISAR % U.O.")</f>
        <v>REVISAR % U.O.</v>
      </c>
      <c r="FK2" s="68">
        <f t="shared" ref="FK2:FK3" si="84">(+FO2+FU2+FY2+GB2+GH2+GL2)/L2</f>
        <v>31557.994544806686</v>
      </c>
      <c r="FL2" s="68">
        <f t="shared" ref="FL2:FL3" si="85">(GO2/L2)/H2</f>
        <v>3.3200488033043269</v>
      </c>
      <c r="FM2" s="59"/>
      <c r="FN2" s="67">
        <f t="shared" ref="FN2:FN3" si="86">+L2*N2</f>
        <v>275969.90188584814</v>
      </c>
      <c r="FO2" s="69">
        <f t="shared" ref="FO2:FO3" si="87">FQ2+FR2+FS2+FT2</f>
        <v>111225.29596638655</v>
      </c>
      <c r="FP2" s="70">
        <f t="shared" ref="FP2:FP3" si="88">FO2/FN2</f>
        <v>0.40303415411001464</v>
      </c>
      <c r="FQ2" s="71">
        <f>R2*L2*'ER18'!$AB$3</f>
        <v>59606.857142857138</v>
      </c>
      <c r="FR2" s="72">
        <f t="shared" ref="FR2:FR3" si="89">J2*2*L2</f>
        <v>31616</v>
      </c>
      <c r="FS2" s="73">
        <f t="shared" ref="FS2:FS3" si="90">H2*M2*L2</f>
        <v>13452</v>
      </c>
      <c r="FT2" s="74">
        <f>SUM('ER18'!$AF$19:$AF$20)/'ER18'!$AF$8*-1</f>
        <v>6550.4388235294118</v>
      </c>
      <c r="FU2" s="75">
        <f t="shared" ref="FU2:FU3" si="91">SUM(FW2:FX2)</f>
        <v>16465.531481617647</v>
      </c>
      <c r="FV2" s="76">
        <f t="shared" ref="FV2:FV3" si="92">FU2/FN2</f>
        <v>5.9664229211591452E-2</v>
      </c>
      <c r="FW2" s="75">
        <f>('ER18'!$AF$132)/'ER18'!$AF$8</f>
        <v>11693.041334573531</v>
      </c>
      <c r="FX2" s="75">
        <f>('ER18'!$AF$133)/'ER18'!$AF$8</f>
        <v>4772.4901470441182</v>
      </c>
      <c r="FY2" s="75">
        <f t="shared" ref="FY2:FY3" si="93">GA2</f>
        <v>2186.9889705882351</v>
      </c>
      <c r="FZ2" s="76">
        <f t="shared" ref="FZ2:FZ3" si="94">FY2/FN2</f>
        <v>7.924737283462378E-3</v>
      </c>
      <c r="GA2" s="75">
        <f>'ER18'!$AF$136/'ER18'!$AF$8</f>
        <v>2186.9889705882351</v>
      </c>
      <c r="GB2" s="75">
        <f t="shared" ref="GB2:GB3" si="95">SUM(GD2:GG2)</f>
        <v>89288.626500318584</v>
      </c>
      <c r="GC2" s="76">
        <f t="shared" ref="GC2:GC3" si="96">GB2/FN2</f>
        <v>0.32354479923412743</v>
      </c>
      <c r="GD2" s="65">
        <f>('ER18'!$AF$139)/'ER18'!$AF$5</f>
        <v>67612.202083333294</v>
      </c>
      <c r="GE2" s="75">
        <f>'ER18'!$AF$140/'ER18'!$AF$8</f>
        <v>13132.153970588237</v>
      </c>
      <c r="GF2" s="65">
        <f>('ER18'!$AF$141)/'ER18'!$AF$8</f>
        <v>6349.2911764705877</v>
      </c>
      <c r="GG2" s="75">
        <f>('ER18'!$AF$142)/'ER18'!$AF$8</f>
        <v>2194.9792699264704</v>
      </c>
      <c r="GH2" s="75">
        <f t="shared" ref="GH2:GH3" si="97">SUM(GJ2:GK2)</f>
        <v>18383.139411764707</v>
      </c>
      <c r="GI2" s="76">
        <f t="shared" ref="GI2:GI3" si="98">GH2/FN2</f>
        <v>6.6612841785075122E-2</v>
      </c>
      <c r="GJ2" s="75">
        <f>('ER18'!$AF$145)/'ER18'!$AF$8</f>
        <v>14589.613235294119</v>
      </c>
      <c r="GK2" s="75">
        <f>('ER18'!$AF$146)/'ER18'!$AF$8</f>
        <v>3793.5261764705883</v>
      </c>
      <c r="GL2" s="75">
        <f t="shared" ref="GL2" si="99">SUM(GN2)</f>
        <v>14914.37402777778</v>
      </c>
      <c r="GM2" s="76">
        <f t="shared" ref="GM2:GM3" si="100">GL2/FN2</f>
        <v>5.4043480560234947E-2</v>
      </c>
      <c r="GN2" s="65">
        <f>'ER18'!$AF$149/'ER18'!$AF$5</f>
        <v>14914.37402777778</v>
      </c>
      <c r="GO2" s="77">
        <f t="shared" ref="GO2:GO3" si="101">FN2-FO2-FU2-FY2-GB2-GH2-GL2</f>
        <v>23505.945527394633</v>
      </c>
      <c r="GP2" s="70">
        <f t="shared" ref="GP2:GP3" si="102">GO2/FN2</f>
        <v>8.5175757815493969E-2</v>
      </c>
      <c r="GQ2" s="64" t="str">
        <f t="shared" ref="GQ2:GQ3" si="103">IF(GP2&gt;$AZ$1,"ACEPTABLE","REVISAR % U.O.")</f>
        <v>REVISAR % U.O.</v>
      </c>
      <c r="GU2" s="68">
        <f t="shared" ref="GU2:GU3" si="104">(+GY2+HE2+HI2+HL2+HR2+HV2)/L2</f>
        <v>32399.967158505373</v>
      </c>
      <c r="GV2" s="68">
        <f t="shared" ref="GV2:GV3" si="105">(HY2/L2)/H2</f>
        <v>2.3686673188990328</v>
      </c>
      <c r="GW2" s="59"/>
      <c r="GX2" s="67">
        <f t="shared" ref="GX2:GX3" si="106">+L2*N2</f>
        <v>275969.90188584814</v>
      </c>
      <c r="GY2" s="69">
        <f t="shared" ref="GY2:GY3" si="107">HA2+HB2+HC2+HD2</f>
        <v>111348.49788819875</v>
      </c>
      <c r="GZ2" s="70">
        <f t="shared" ref="GZ2:GZ3" si="108">GY2/GX2</f>
        <v>0.40348058656866431</v>
      </c>
      <c r="HA2" s="71">
        <f>R2*L2*'ER18'!$AJ$3</f>
        <v>60382.28571428571</v>
      </c>
      <c r="HB2" s="72">
        <f t="shared" ref="HB2:HB3" si="109">J2*2*L2</f>
        <v>31616</v>
      </c>
      <c r="HC2" s="73">
        <f t="shared" ref="HC2:HC3" si="110">H2*M2*L2</f>
        <v>13452</v>
      </c>
      <c r="HD2" s="74">
        <f>SUM('ER18'!$AJ$19:$AJ$20)/'ER18'!$AJ$8*-1</f>
        <v>5898.2121739130434</v>
      </c>
      <c r="HE2" s="75">
        <f t="shared" ref="HE2:HE3" si="111">SUM(HG2:HH2)</f>
        <v>16762.153256869569</v>
      </c>
      <c r="HF2" s="76">
        <f t="shared" ref="HF2:HF3" si="112">HE2/GX2</f>
        <v>6.0739063000439249E-2</v>
      </c>
      <c r="HG2" s="75">
        <f>('ER18'!$AJ$132)/'ER18'!$AJ$8</f>
        <v>11860.747025000002</v>
      </c>
      <c r="HH2" s="75">
        <f>('ER18'!$AJ$133)/'ER18'!$AJ$8</f>
        <v>4901.4062318695651</v>
      </c>
      <c r="HI2" s="75">
        <f t="shared" ref="HI2:HI3" si="113">HK2</f>
        <v>2186.9889705882351</v>
      </c>
      <c r="HJ2" s="76">
        <f t="shared" ref="HJ2:HJ3" si="114">HI2/GX2</f>
        <v>7.924737283462378E-3</v>
      </c>
      <c r="HK2" s="75">
        <f>'ER18'!$AF$136/'ER18'!$AF$8</f>
        <v>2186.9889705882351</v>
      </c>
      <c r="HL2" s="75">
        <f t="shared" ref="HL2:HL3" si="115">SUM(HN2:HQ2)</f>
        <v>97947.3812948985</v>
      </c>
      <c r="HM2" s="76">
        <f t="shared" ref="HM2:HM3" si="116">HL2/GX2</f>
        <v>0.35492052077263603</v>
      </c>
      <c r="HN2" s="65">
        <f>('ER18'!$AJ$139)/'ER18'!$AJ$5</f>
        <v>69924.344166666619</v>
      </c>
      <c r="HO2" s="75">
        <f>'ER18'!$AJ$140/'ER18'!$AJ$8</f>
        <v>13091.294202898551</v>
      </c>
      <c r="HP2" s="65">
        <f>('ER18'!$AJ$141)/'ER18'!$AJ$8</f>
        <v>12768.095507246377</v>
      </c>
      <c r="HQ2" s="75">
        <f>('ER18'!$AJ$142)/'ER18'!$AJ$8</f>
        <v>2163.6474180869568</v>
      </c>
      <c r="HR2" s="75">
        <f t="shared" ref="HR2:HR3" si="117">SUM(HT2:HU2)</f>
        <v>15734.750579710144</v>
      </c>
      <c r="HS2" s="76">
        <f t="shared" ref="HS2:HS3" si="118">HR2/GX2</f>
        <v>5.7016183548228558E-2</v>
      </c>
      <c r="HT2" s="75">
        <f>('ER18'!$AJ$145)/'ER18'!$AJ$8</f>
        <v>11654.263913043478</v>
      </c>
      <c r="HU2" s="75">
        <f>('ER18'!$AJ$146)/'ER18'!$AJ$8</f>
        <v>4080.4866666666667</v>
      </c>
      <c r="HV2" s="75">
        <f t="shared" ref="HV2" si="119">SUM(HX2)</f>
        <v>15219.965277777777</v>
      </c>
      <c r="HW2" s="76">
        <f t="shared" ref="HW2:HW3" si="120">HV2/GX2</f>
        <v>5.515081599033704E-2</v>
      </c>
      <c r="HX2" s="65">
        <f>'ER18'!$AJ$149/'ER18'!$AJ$5</f>
        <v>15219.965277777777</v>
      </c>
      <c r="HY2" s="77">
        <f t="shared" ref="HY2:HY3" si="121">GX2-GY2-HE2-HI2-HL2-HR2-HV2</f>
        <v>16770.164617805152</v>
      </c>
      <c r="HZ2" s="70">
        <f t="shared" ref="HZ2:HZ3" si="122">HY2/GX2</f>
        <v>6.076809283623235E-2</v>
      </c>
      <c r="IA2" s="64" t="str">
        <f t="shared" ref="IA2:IA3" si="123">IF(HZ2&gt;$AZ$1,"ACEPTABLE","REVISAR % U.O.")</f>
        <v>REVISAR % U.O.</v>
      </c>
      <c r="IE2" s="68" t="e">
        <f t="shared" ref="IE2:IE3" si="124">(+II2+IO2+IS2+IV2+JB2+JF2)/L2</f>
        <v>#DIV/0!</v>
      </c>
      <c r="IF2" s="68" t="e">
        <f t="shared" ref="IF2:IF3" si="125">(JI2/L2)/H2</f>
        <v>#DIV/0!</v>
      </c>
      <c r="IG2" s="59"/>
      <c r="IH2" s="67">
        <f t="shared" ref="IH2:IH3" si="126">+L2*N2</f>
        <v>275969.90188584814</v>
      </c>
      <c r="II2" s="69" t="e">
        <f t="shared" ref="II2:II3" si="127">IK2+IL2+IM2+IN2</f>
        <v>#DIV/0!</v>
      </c>
      <c r="IJ2" s="70" t="e">
        <f t="shared" ref="IJ2:IJ3" si="128">II2/IH2</f>
        <v>#DIV/0!</v>
      </c>
      <c r="IK2" s="71">
        <f>R2*L2*'ER18'!$AN$3</f>
        <v>0</v>
      </c>
      <c r="IL2" s="72">
        <f t="shared" ref="IL2:IL3" si="129">J2*2*L2</f>
        <v>31616</v>
      </c>
      <c r="IM2" s="73">
        <f t="shared" ref="IM2:IM3" si="130">H2*M2*L2</f>
        <v>13452</v>
      </c>
      <c r="IN2" s="74" t="e">
        <f>SUM('ER18'!$AN$19:$AN$20)/'ER18'!$AN$8*-1</f>
        <v>#DIV/0!</v>
      </c>
      <c r="IO2" s="75" t="e">
        <f t="shared" ref="IO2:IO3" si="131">SUM(IQ2:IR2)</f>
        <v>#DIV/0!</v>
      </c>
      <c r="IP2" s="76" t="e">
        <f t="shared" ref="IP2:IP3" si="132">IO2/IH2</f>
        <v>#DIV/0!</v>
      </c>
      <c r="IQ2" s="75" t="e">
        <f>('ER18'!$AN$132)/'ER18'!$AN$8</f>
        <v>#DIV/0!</v>
      </c>
      <c r="IR2" s="75" t="e">
        <f>('ER18'!$AN$133)/'ER18'!$AN$8</f>
        <v>#DIV/0!</v>
      </c>
      <c r="IS2" s="75" t="e">
        <f t="shared" ref="IS2:IS3" si="133">IU2</f>
        <v>#DIV/0!</v>
      </c>
      <c r="IT2" s="76" t="e">
        <f t="shared" ref="IT2:IT3" si="134">IS2/IH2</f>
        <v>#DIV/0!</v>
      </c>
      <c r="IU2" s="75" t="e">
        <f>'ER18'!$AN$136/'ER18'!$AN$8</f>
        <v>#DIV/0!</v>
      </c>
      <c r="IV2" s="75" t="e">
        <f t="shared" ref="IV2:IV3" si="135">SUM(IX2:JA2)</f>
        <v>#DIV/0!</v>
      </c>
      <c r="IW2" s="76" t="e">
        <f t="shared" ref="IW2:IW3" si="136">IV2/IH2</f>
        <v>#DIV/0!</v>
      </c>
      <c r="IX2" s="65" t="e">
        <f>('ER18'!$AN$139)/'ER18'!$AN$5</f>
        <v>#DIV/0!</v>
      </c>
      <c r="IY2" s="75" t="e">
        <f>'ER18'!$AN$140/'ER18'!$AN$8</f>
        <v>#DIV/0!</v>
      </c>
      <c r="IZ2" s="65" t="e">
        <f>('ER18'!$AN$141)/'ER18'!$AN$8</f>
        <v>#DIV/0!</v>
      </c>
      <c r="JA2" s="75" t="e">
        <f>('ER18'!$AN$142)/'ER18'!$AN$8</f>
        <v>#DIV/0!</v>
      </c>
      <c r="JB2" s="75" t="e">
        <f t="shared" ref="JB2:JB3" si="137">SUM(JD2:JE2)</f>
        <v>#DIV/0!</v>
      </c>
      <c r="JC2" s="76" t="e">
        <f t="shared" ref="JC2:JC3" si="138">JB2/IH2</f>
        <v>#DIV/0!</v>
      </c>
      <c r="JD2" s="75" t="e">
        <f>('ER18'!$AN$145)/'ER18'!$AN$8</f>
        <v>#DIV/0!</v>
      </c>
      <c r="JE2" s="75" t="e">
        <f>('ER18'!$AN$146)/'ER18'!$AN$8</f>
        <v>#DIV/0!</v>
      </c>
      <c r="JF2" s="75" t="e">
        <f t="shared" ref="JF2" si="139">SUM(JH2)</f>
        <v>#DIV/0!</v>
      </c>
      <c r="JG2" s="76" t="e">
        <f t="shared" ref="JG2:JG3" si="140">JF2/IH2</f>
        <v>#DIV/0!</v>
      </c>
      <c r="JH2" s="65" t="e">
        <f>'ER18'!$AN$149/'ER18'!$AN$5</f>
        <v>#DIV/0!</v>
      </c>
      <c r="JI2" s="77" t="e">
        <f t="shared" ref="JI2:JI3" si="141">IH2-II2-IO2-IS2-IV2-JB2-JF2</f>
        <v>#DIV/0!</v>
      </c>
      <c r="JJ2" s="70" t="e">
        <f t="shared" ref="JJ2:JJ3" si="142">JI2/IH2</f>
        <v>#DIV/0!</v>
      </c>
      <c r="JK2" s="64" t="e">
        <f t="shared" ref="JK2:JK3" si="143">IF(JJ2&gt;$AZ$1,"ACEPTABLE","REVISAR % U.O.")</f>
        <v>#DIV/0!</v>
      </c>
      <c r="JO2" s="68" t="e">
        <f t="shared" ref="JO2:JO3" si="144">(+JS2+JY2+KC2+KF2+KL2+KP2)/L2</f>
        <v>#DIV/0!</v>
      </c>
      <c r="JP2" s="68" t="e">
        <f t="shared" ref="JP2:JP3" si="145">(KS2/L2)/H2</f>
        <v>#DIV/0!</v>
      </c>
      <c r="JQ2" s="59"/>
      <c r="JR2" s="67">
        <f t="shared" ref="JR2:JR3" si="146">+L2*N2</f>
        <v>275969.90188584814</v>
      </c>
      <c r="JS2" s="69" t="e">
        <f t="shared" ref="JS2:JS3" si="147">JU2+JV2+JW2+JX2</f>
        <v>#DIV/0!</v>
      </c>
      <c r="JT2" s="70" t="e">
        <f t="shared" ref="JT2:JT3" si="148">JS2/JR2</f>
        <v>#DIV/0!</v>
      </c>
      <c r="JU2" s="71">
        <f>R2*L2*'ER18'!$AN$3</f>
        <v>0</v>
      </c>
      <c r="JV2" s="72">
        <f t="shared" ref="JV2:JV3" si="149">J2*2*L2</f>
        <v>31616</v>
      </c>
      <c r="JW2" s="73">
        <f t="shared" ref="JW2:JW3" si="150">H2*M2*L2</f>
        <v>13452</v>
      </c>
      <c r="JX2" s="74" t="e">
        <f>SUM('ER18'!$AR$19:$AR$20)/'ER18'!$AR$8*-1</f>
        <v>#DIV/0!</v>
      </c>
      <c r="JY2" s="75" t="e">
        <f t="shared" ref="JY2:JY3" si="151">SUM(KA2:KB2)</f>
        <v>#DIV/0!</v>
      </c>
      <c r="JZ2" s="76" t="e">
        <f t="shared" ref="JZ2:JZ3" si="152">JY2/JR2</f>
        <v>#DIV/0!</v>
      </c>
      <c r="KA2" s="75" t="e">
        <f>('ER18'!$AR$132)/'ER18'!$AR$8</f>
        <v>#DIV/0!</v>
      </c>
      <c r="KB2" s="75" t="e">
        <f>('ER18'!$AR$133)/'ER18'!$AR$8</f>
        <v>#DIV/0!</v>
      </c>
      <c r="KC2" s="75" t="e">
        <f t="shared" ref="KC2:KC3" si="153">KE2</f>
        <v>#DIV/0!</v>
      </c>
      <c r="KD2" s="76" t="e">
        <f t="shared" ref="KD2:KD3" si="154">KC2/JR2</f>
        <v>#DIV/0!</v>
      </c>
      <c r="KE2" s="75" t="e">
        <f>'ER18'!$AR$136/'ER18'!$AR$8</f>
        <v>#DIV/0!</v>
      </c>
      <c r="KF2" s="75" t="e">
        <f t="shared" ref="KF2:KF3" si="155">SUM(KH2:KK2)</f>
        <v>#DIV/0!</v>
      </c>
      <c r="KG2" s="76" t="e">
        <f t="shared" ref="KG2:KG3" si="156">KF2/JR2</f>
        <v>#DIV/0!</v>
      </c>
      <c r="KH2" s="65" t="e">
        <f>('ER18'!$AR$139)/'ER18'!$AR$5</f>
        <v>#DIV/0!</v>
      </c>
      <c r="KI2" s="75" t="e">
        <f>'ER18'!$AR$140/'ER18'!$AR$8</f>
        <v>#DIV/0!</v>
      </c>
      <c r="KJ2" s="65" t="e">
        <f>('ER18'!$AR$141)/'ER18'!$AR$8</f>
        <v>#DIV/0!</v>
      </c>
      <c r="KK2" s="75" t="e">
        <f>('ER18'!$AR$142)/'ER18'!$AR$8</f>
        <v>#DIV/0!</v>
      </c>
      <c r="KL2" s="75" t="e">
        <f t="shared" ref="KL2:KL3" si="157">SUM(KN2:KO2)</f>
        <v>#DIV/0!</v>
      </c>
      <c r="KM2" s="76" t="e">
        <f t="shared" ref="KM2:KM3" si="158">KL2/JR2</f>
        <v>#DIV/0!</v>
      </c>
      <c r="KN2" s="75" t="e">
        <f>('ER18'!$AR$145)/'ER18'!$AR$8</f>
        <v>#DIV/0!</v>
      </c>
      <c r="KO2" s="75" t="e">
        <f>('ER18'!$AR$146)/'ER18'!$AR$8</f>
        <v>#DIV/0!</v>
      </c>
      <c r="KP2" s="75" t="e">
        <f t="shared" ref="KP2" si="159">SUM(KR2)</f>
        <v>#DIV/0!</v>
      </c>
      <c r="KQ2" s="76" t="e">
        <f t="shared" ref="KQ2:KQ3" si="160">KP2/JR2</f>
        <v>#DIV/0!</v>
      </c>
      <c r="KR2" s="65" t="e">
        <f>'ER18'!$AR$149/'ER18'!$AR$5</f>
        <v>#DIV/0!</v>
      </c>
      <c r="KS2" s="77" t="e">
        <f t="shared" ref="KS2:KS3" si="161">JR2-JS2-JY2-KC2-KF2-KL2-KP2</f>
        <v>#DIV/0!</v>
      </c>
      <c r="KT2" s="70" t="e">
        <f t="shared" ref="KT2:KT3" si="162">KS2/JR2</f>
        <v>#DIV/0!</v>
      </c>
      <c r="KU2" s="64" t="e">
        <f t="shared" ref="KU2:KU3" si="163">IF(KT2&gt;$AZ$1,"ACEPTABLE","REVISAR % U.O.")</f>
        <v>#DIV/0!</v>
      </c>
      <c r="KY2" s="68" t="e">
        <f t="shared" ref="KY2:KY3" si="164">(+LC2+LI2+LM2+LP2+LV2+LZ2)/L2</f>
        <v>#DIV/0!</v>
      </c>
      <c r="KZ2" s="68" t="e">
        <f t="shared" ref="KZ2:KZ3" si="165">(MC2/L2)/H2</f>
        <v>#DIV/0!</v>
      </c>
      <c r="LA2" s="59"/>
      <c r="LB2" s="67">
        <f t="shared" ref="LB2:LB3" si="166">+L2*N2</f>
        <v>275969.90188584814</v>
      </c>
      <c r="LC2" s="69" t="e">
        <f t="shared" ref="LC2:LC3" si="167">LE2+LF2+LG2+LH2</f>
        <v>#DIV/0!</v>
      </c>
      <c r="LD2" s="70" t="e">
        <f t="shared" ref="LD2:LD3" si="168">LC2/LB2</f>
        <v>#DIV/0!</v>
      </c>
      <c r="LE2" s="71">
        <f>R2*L2*'ER18'!$AN$3</f>
        <v>0</v>
      </c>
      <c r="LF2" s="72">
        <f t="shared" ref="LF2:LF3" si="169">J2*2*L2</f>
        <v>31616</v>
      </c>
      <c r="LG2" s="73">
        <f t="shared" ref="LG2:LG3" si="170">H2*M2*L2</f>
        <v>13452</v>
      </c>
      <c r="LH2" s="74" t="e">
        <f>SUM('ER18'!$AV$19:$AV$20)/'ER18'!$AV$8*-1</f>
        <v>#DIV/0!</v>
      </c>
      <c r="LI2" s="75" t="e">
        <f t="shared" ref="LI2:LI3" si="171">SUM(LK2:LL2)</f>
        <v>#DIV/0!</v>
      </c>
      <c r="LJ2" s="76" t="e">
        <f t="shared" ref="LJ2:LJ3" si="172">LI2/LB2</f>
        <v>#DIV/0!</v>
      </c>
      <c r="LK2" s="75" t="e">
        <f>('ER18'!$AV$132)/'ER18'!$AV$8</f>
        <v>#DIV/0!</v>
      </c>
      <c r="LL2" s="75" t="e">
        <f>('ER18'!$AV$133)/'ER18'!$AV$8</f>
        <v>#DIV/0!</v>
      </c>
      <c r="LM2" s="75" t="e">
        <f t="shared" ref="LM2:LM3" si="173">LO2</f>
        <v>#DIV/0!</v>
      </c>
      <c r="LN2" s="76" t="e">
        <f t="shared" ref="LN2:LN3" si="174">LM2/LB2</f>
        <v>#DIV/0!</v>
      </c>
      <c r="LO2" s="75" t="e">
        <f>'ER18'!$AV$136/'ER18'!$AV$8</f>
        <v>#DIV/0!</v>
      </c>
      <c r="LP2" s="75" t="e">
        <f t="shared" ref="LP2:LP3" si="175">SUM(LR2:LU2)</f>
        <v>#DIV/0!</v>
      </c>
      <c r="LQ2" s="76" t="e">
        <f t="shared" ref="LQ2:LQ3" si="176">LP2/LB2</f>
        <v>#DIV/0!</v>
      </c>
      <c r="LR2" s="65" t="e">
        <f>('ER18'!$AV$139)/'ER18'!$AV$5</f>
        <v>#DIV/0!</v>
      </c>
      <c r="LS2" s="75" t="e">
        <f>'ER18'!$AV$140/'ER18'!$AV$8</f>
        <v>#DIV/0!</v>
      </c>
      <c r="LT2" s="65" t="e">
        <f>('ER18'!$AV$141)/'ER18'!$AV$8</f>
        <v>#DIV/0!</v>
      </c>
      <c r="LU2" s="75" t="e">
        <f>('ER18'!$AV$142)/'ER18'!$AV$8</f>
        <v>#DIV/0!</v>
      </c>
      <c r="LV2" s="75" t="e">
        <f t="shared" ref="LV2:LV3" si="177">SUM(LX2:LY2)</f>
        <v>#DIV/0!</v>
      </c>
      <c r="LW2" s="76" t="e">
        <f t="shared" ref="LW2:LW3" si="178">LV2/LB2</f>
        <v>#DIV/0!</v>
      </c>
      <c r="LX2" s="75" t="e">
        <f>('ER18'!$AV$145)/'ER18'!$AV$8</f>
        <v>#DIV/0!</v>
      </c>
      <c r="LY2" s="75" t="e">
        <f>('ER18'!$AV$146)/'ER18'!$AV$8</f>
        <v>#DIV/0!</v>
      </c>
      <c r="LZ2" s="75" t="e">
        <f t="shared" ref="LZ2" si="179">SUM(MB2)</f>
        <v>#DIV/0!</v>
      </c>
      <c r="MA2" s="76" t="e">
        <f t="shared" ref="MA2:MA3" si="180">LZ2/LB2</f>
        <v>#DIV/0!</v>
      </c>
      <c r="MB2" s="65" t="e">
        <f>'ER18'!$AV$149/'ER18'!$AV$5</f>
        <v>#DIV/0!</v>
      </c>
      <c r="MC2" s="77" t="e">
        <f t="shared" ref="MC2:MC3" si="181">LB2-LC2-LI2-LM2-LP2-LV2-LZ2</f>
        <v>#DIV/0!</v>
      </c>
      <c r="MD2" s="70" t="e">
        <f t="shared" ref="MD2:MD3" si="182">MC2/LB2</f>
        <v>#DIV/0!</v>
      </c>
      <c r="ME2" s="64" t="e">
        <f t="shared" ref="ME2:ME3" si="183">IF(MD2&gt;$AZ$1,"ACEPTABLE","REVISAR % U.O.")</f>
        <v>#DIV/0!</v>
      </c>
    </row>
    <row r="3" spans="1:343" s="64" customFormat="1" ht="11.25" x14ac:dyDescent="0.2">
      <c r="A3" s="64">
        <v>440</v>
      </c>
      <c r="B3" s="84">
        <v>43598</v>
      </c>
      <c r="C3" s="143" t="s">
        <v>189</v>
      </c>
      <c r="D3" s="143" t="s">
        <v>183</v>
      </c>
      <c r="E3" s="143" t="s">
        <v>191</v>
      </c>
      <c r="F3" s="65" t="s">
        <v>129</v>
      </c>
      <c r="G3" s="139">
        <v>15734.561997718371</v>
      </c>
      <c r="H3" s="118">
        <f t="shared" si="0"/>
        <v>550</v>
      </c>
      <c r="I3" s="78">
        <v>275</v>
      </c>
      <c r="J3" s="66">
        <v>855</v>
      </c>
      <c r="K3" s="81">
        <v>2.1</v>
      </c>
      <c r="L3" s="83">
        <v>26</v>
      </c>
      <c r="M3" s="80">
        <f t="shared" si="1"/>
        <v>2.1</v>
      </c>
      <c r="N3" s="67">
        <f t="shared" si="2"/>
        <v>15734.561997718371</v>
      </c>
      <c r="O3" s="68">
        <f t="shared" si="3"/>
        <v>14156.440047110522</v>
      </c>
      <c r="P3" s="68">
        <f t="shared" si="4"/>
        <v>1578.1219506078487</v>
      </c>
      <c r="Q3" s="141">
        <f t="shared" si="5"/>
        <v>14300</v>
      </c>
      <c r="R3" s="141">
        <f t="shared" si="6"/>
        <v>261.90476190476187</v>
      </c>
      <c r="S3" s="141">
        <f t="shared" si="7"/>
        <v>28.60829454130613</v>
      </c>
      <c r="T3" s="141">
        <f t="shared" si="8"/>
        <v>25.738981903837313</v>
      </c>
      <c r="U3" s="141">
        <f t="shared" si="9"/>
        <v>2.869312637468818</v>
      </c>
      <c r="V3" s="59"/>
      <c r="W3" s="127">
        <f t="shared" si="10"/>
        <v>409098.61194067763</v>
      </c>
      <c r="X3" s="126">
        <f t="shared" si="11"/>
        <v>227087.08095757576</v>
      </c>
      <c r="Y3" s="70">
        <f t="shared" si="12"/>
        <v>0.55509130153319874</v>
      </c>
      <c r="Z3" s="72">
        <f>R3*L3*'ER18'!$BD$3</f>
        <v>142999.99999999997</v>
      </c>
      <c r="AA3" s="72">
        <f>IF(BB3="TWO WAY",(J3*2*L3)*'ER18'!$BD$6,(J3*1*L3)*'ER18'!$BD$6)</f>
        <v>48016.800000000003</v>
      </c>
      <c r="AB3" s="72">
        <f t="shared" si="13"/>
        <v>30030</v>
      </c>
      <c r="AC3" s="74">
        <f>'ER18'!$BD$129/'ER18'!$BD$8</f>
        <v>6040.2809575757583</v>
      </c>
      <c r="AD3" s="126">
        <f t="shared" si="14"/>
        <v>16277.567324506665</v>
      </c>
      <c r="AE3" s="76">
        <f t="shared" si="15"/>
        <v>3.9788859823525959E-2</v>
      </c>
      <c r="AF3" s="72">
        <f>'ER18'!$BD$132/'ER18'!$BD$8</f>
        <v>11764.15967760121</v>
      </c>
      <c r="AG3" s="72">
        <f>'ER18'!$BD$133/'ER18'!$BD$8</f>
        <v>4513.4076469054553</v>
      </c>
      <c r="AH3" s="126">
        <f t="shared" si="16"/>
        <v>3143.4067515151514</v>
      </c>
      <c r="AI3" s="76">
        <f t="shared" si="17"/>
        <v>7.6837384918112825E-3</v>
      </c>
      <c r="AJ3" s="75">
        <f>'ER18'!$BD$136/'ER18'!$BD$8</f>
        <v>3143.4067515151514</v>
      </c>
      <c r="AK3" s="126">
        <f t="shared" si="18"/>
        <v>89021.581233022764</v>
      </c>
      <c r="AL3" s="76">
        <f t="shared" si="19"/>
        <v>0.21760421237002769</v>
      </c>
      <c r="AM3" s="65">
        <f>'ER18'!$BD$139/'ER18'!$BD$5</f>
        <v>65524.036435185197</v>
      </c>
      <c r="AN3" s="75">
        <f>'ER18'!$BD$140/'ER18'!$BD$8</f>
        <v>13161.451340606063</v>
      </c>
      <c r="AO3" s="65">
        <f>'ER18'!$BD$141/'ER18'!$BD$8</f>
        <v>8564.4664969696969</v>
      </c>
      <c r="AP3" s="75">
        <f>'ER18'!$BD$142/'ER18'!$BD$8</f>
        <v>1771.6269602618183</v>
      </c>
      <c r="AQ3" s="126">
        <f t="shared" si="20"/>
        <v>16591.309865660605</v>
      </c>
      <c r="AR3" s="76">
        <f t="shared" si="21"/>
        <v>4.0555771594909418E-2</v>
      </c>
      <c r="AS3" s="75">
        <f>('ER18'!$BD$145)/'ER18'!$BD$8</f>
        <v>12141.341139393939</v>
      </c>
      <c r="AT3" s="75">
        <f>'ER18'!$BD$146/'ER18'!$BD$8</f>
        <v>4449.9687262666666</v>
      </c>
      <c r="AU3" s="126">
        <f t="shared" ref="AU3" si="184">SUM(AW3)</f>
        <v>15946.495092592593</v>
      </c>
      <c r="AV3" s="76">
        <f t="shared" si="23"/>
        <v>3.8979587383456964E-2</v>
      </c>
      <c r="AW3" s="65">
        <f>'ER18'!$BD$149/'ER18'!$BD$5</f>
        <v>15946.495092592593</v>
      </c>
      <c r="AX3" s="77">
        <f t="shared" si="24"/>
        <v>41031.170715804095</v>
      </c>
      <c r="AY3" s="70">
        <f t="shared" si="25"/>
        <v>0.10029652880306991</v>
      </c>
      <c r="AZ3" s="64" t="str">
        <f t="shared" si="26"/>
        <v>ACEPTABLE</v>
      </c>
      <c r="BA3" s="74">
        <f t="shared" si="27"/>
        <v>16.730701237477902</v>
      </c>
      <c r="BB3" s="64" t="s">
        <v>186</v>
      </c>
      <c r="BD3" s="85">
        <v>0.10100000000000001</v>
      </c>
      <c r="BG3" s="68">
        <f t="shared" si="28"/>
        <v>12967.673533331514</v>
      </c>
      <c r="BH3" s="68">
        <f t="shared" si="29"/>
        <v>5.0307062988851978</v>
      </c>
      <c r="BI3" s="59"/>
      <c r="BJ3" s="67">
        <f t="shared" si="30"/>
        <v>409098.61194067763</v>
      </c>
      <c r="BK3" s="69">
        <f t="shared" si="31"/>
        <v>201375.8834920635</v>
      </c>
      <c r="BL3" s="70">
        <f t="shared" si="32"/>
        <v>0.49224289111316888</v>
      </c>
      <c r="BM3" s="71">
        <f>R3*L3*'ER18'!$D$3</f>
        <v>120392.38095238093</v>
      </c>
      <c r="BN3" s="72">
        <f>(J3*2*L3)*'ER18'!$D$6</f>
        <v>44460</v>
      </c>
      <c r="BO3" s="73">
        <f t="shared" si="33"/>
        <v>30030</v>
      </c>
      <c r="BP3" s="74">
        <f>SUM('ER18'!$D$129)/'ER18'!$D$8</f>
        <v>6493.5025396825395</v>
      </c>
      <c r="BQ3" s="75">
        <f t="shared" si="34"/>
        <v>17881.94554122222</v>
      </c>
      <c r="BR3" s="76">
        <f t="shared" si="35"/>
        <v>4.3710599398990961E-2</v>
      </c>
      <c r="BS3" s="75">
        <f>('ER18'!$D$132)/'ER18'!$D$8</f>
        <v>13867.649826936507</v>
      </c>
      <c r="BT3" s="75">
        <f>('ER18'!$D$133)/'ER18'!$D$8</f>
        <v>4014.2957142857135</v>
      </c>
      <c r="BU3" s="75">
        <f t="shared" si="36"/>
        <v>4932.3322222222223</v>
      </c>
      <c r="BV3" s="76">
        <f t="shared" si="37"/>
        <v>1.2056585083054371E-2</v>
      </c>
      <c r="BW3" s="75">
        <f>'ER18'!$D$136/'ER18'!$D$8</f>
        <v>4932.3322222222223</v>
      </c>
      <c r="BX3" s="75">
        <f t="shared" si="38"/>
        <v>81019.172634920877</v>
      </c>
      <c r="BY3" s="76">
        <f t="shared" si="39"/>
        <v>0.19804313744938656</v>
      </c>
      <c r="BZ3" s="65">
        <f>('ER18'!$D$139)/'ER18'!$D$5</f>
        <v>56411.991111111354</v>
      </c>
      <c r="CA3" s="75">
        <f>'ER18'!$D$140/'ER18'!$D$8</f>
        <v>10217.731523809523</v>
      </c>
      <c r="CB3" s="65">
        <f>('ER18'!$D$141)/'ER18'!$D$8</f>
        <v>12246.49857142857</v>
      </c>
      <c r="CC3" s="75">
        <f>('ER18'!$D$142)/'ER18'!$D$8</f>
        <v>2142.9514285714286</v>
      </c>
      <c r="CD3" s="75">
        <f t="shared" si="40"/>
        <v>15157.73714285714</v>
      </c>
      <c r="CE3" s="76">
        <f t="shared" si="41"/>
        <v>3.7051548698618236E-2</v>
      </c>
      <c r="CF3" s="75">
        <f>('ER18'!$D$145)/'ER18'!$D$8</f>
        <v>11368.493968253966</v>
      </c>
      <c r="CG3" s="75">
        <f>('ER18'!$D$146)/'ER18'!$D$8</f>
        <v>3789.2431746031748</v>
      </c>
      <c r="CH3" s="75">
        <f t="shared" ref="CH3" si="185">SUM(CJ3)</f>
        <v>16792.44083333333</v>
      </c>
      <c r="CI3" s="76">
        <f t="shared" si="43"/>
        <v>4.1047415814181157E-2</v>
      </c>
      <c r="CJ3" s="65">
        <f>'ER18'!$D$149/'ER18'!$D$5</f>
        <v>16792.44083333333</v>
      </c>
      <c r="CK3" s="77">
        <f t="shared" si="44"/>
        <v>71939.100074058326</v>
      </c>
      <c r="CL3" s="70">
        <f t="shared" si="45"/>
        <v>0.17584782244259983</v>
      </c>
      <c r="CM3" s="64" t="str">
        <f t="shared" si="46"/>
        <v>ACEPTABLE</v>
      </c>
      <c r="CQ3" s="68">
        <f t="shared" si="47"/>
        <v>13352.669577554301</v>
      </c>
      <c r="CR3" s="68" t="e">
        <f>(DU3/#REF!)/H3</f>
        <v>#REF!</v>
      </c>
      <c r="CS3" s="59"/>
      <c r="CT3" s="67">
        <f t="shared" si="48"/>
        <v>409098.61194067763</v>
      </c>
      <c r="CU3" s="69">
        <f t="shared" si="49"/>
        <v>200985.61462885153</v>
      </c>
      <c r="CV3" s="70">
        <f t="shared" si="50"/>
        <v>0.49128891852118028</v>
      </c>
      <c r="CW3" s="71">
        <f>R3*L3*'ER18'!$H$3</f>
        <v>120392.38095238093</v>
      </c>
      <c r="CX3" s="72">
        <f>(J3*2*L3)*'ER18'!$D$6</f>
        <v>44460</v>
      </c>
      <c r="CY3" s="73">
        <f t="shared" si="51"/>
        <v>30030</v>
      </c>
      <c r="CZ3" s="74">
        <f>SUM('ER18'!$H$129)/'ER18'!$H$8</f>
        <v>6103.2336764705869</v>
      </c>
      <c r="DA3" s="75">
        <f t="shared" si="52"/>
        <v>15890.227561588235</v>
      </c>
      <c r="DB3" s="76">
        <f t="shared" si="53"/>
        <v>3.8842047119662285E-2</v>
      </c>
      <c r="DC3" s="75">
        <f>('ER18'!$H$132)/'ER18'!$H$8</f>
        <v>10468.572014529411</v>
      </c>
      <c r="DD3" s="75">
        <f>('ER18'!$H$133)/'ER18'!$H$8</f>
        <v>5421.6555470588237</v>
      </c>
      <c r="DE3" s="75">
        <f t="shared" si="54"/>
        <v>2500.0539705882352</v>
      </c>
      <c r="DF3" s="76">
        <f t="shared" si="55"/>
        <v>6.111127971636242E-3</v>
      </c>
      <c r="DG3" s="75">
        <f>'ER18'!$H$136/'ER18'!$H$8</f>
        <v>2500.0539705882352</v>
      </c>
      <c r="DH3" s="75">
        <f t="shared" si="56"/>
        <v>95134.918468129006</v>
      </c>
      <c r="DI3" s="76">
        <f t="shared" si="57"/>
        <v>0.23254764423870566</v>
      </c>
      <c r="DJ3" s="65">
        <f>('ER18'!$H$139)/'ER18'!$H$5</f>
        <v>67357.519305555485</v>
      </c>
      <c r="DK3" s="75">
        <f>'ER18'!$H$140/'ER18'!$H$8</f>
        <v>13076.644264705883</v>
      </c>
      <c r="DL3" s="65">
        <f>('ER18'!$H$141)/'ER18'!$H$8</f>
        <v>12538.56705882353</v>
      </c>
      <c r="DM3" s="75">
        <f>('ER18'!$H$142)/'ER18'!$H$8</f>
        <v>2162.1878390441175</v>
      </c>
      <c r="DN3" s="75">
        <f t="shared" si="58"/>
        <v>16568.131470588232</v>
      </c>
      <c r="DO3" s="76">
        <f t="shared" si="59"/>
        <v>4.0499114362653313E-2</v>
      </c>
      <c r="DP3" s="75">
        <f>('ER18'!$H$145)/'ER18'!$H$8</f>
        <v>11364.528529411764</v>
      </c>
      <c r="DQ3" s="75">
        <f>('ER18'!$H$146)/'ER18'!$H$8</f>
        <v>5203.6029411764703</v>
      </c>
      <c r="DR3" s="75">
        <f t="shared" ref="DR3" si="186">SUM(DT3)</f>
        <v>16090.462916666667</v>
      </c>
      <c r="DS3" s="76">
        <f t="shared" si="61"/>
        <v>3.9331502104925024E-2</v>
      </c>
      <c r="DT3" s="65">
        <f>'ER18'!$H$149/'ER18'!$H$5</f>
        <v>16090.462916666667</v>
      </c>
      <c r="DU3" s="77">
        <f t="shared" si="62"/>
        <v>61929.20292426573</v>
      </c>
      <c r="DV3" s="70">
        <f t="shared" si="63"/>
        <v>0.15137964568123718</v>
      </c>
      <c r="DW3" s="64" t="str">
        <f t="shared" si="64"/>
        <v>ACEPTABLE</v>
      </c>
      <c r="EA3" s="68">
        <f t="shared" si="65"/>
        <v>13270.535256328254</v>
      </c>
      <c r="EB3" s="68">
        <f t="shared" si="66"/>
        <v>4.4800486207093009</v>
      </c>
      <c r="EC3" s="59"/>
      <c r="ED3" s="67">
        <f t="shared" si="67"/>
        <v>409098.61194067763</v>
      </c>
      <c r="EE3" s="69">
        <f t="shared" si="68"/>
        <v>200309.25177429875</v>
      </c>
      <c r="EF3" s="70">
        <f t="shared" si="69"/>
        <v>0.48963561822924273</v>
      </c>
      <c r="EG3" s="71">
        <f>R3*L3*'ER18'!$L$3</f>
        <v>120392.38095238093</v>
      </c>
      <c r="EH3" s="72">
        <f>(J3*2*L3)*'ER18'!$L$6</f>
        <v>44460</v>
      </c>
      <c r="EI3" s="73">
        <f t="shared" si="70"/>
        <v>30030</v>
      </c>
      <c r="EJ3" s="74">
        <f>SUM('ER18'!$L$129)/'ER18'!$L$8</f>
        <v>5426.8708219178088</v>
      </c>
      <c r="EK3" s="75">
        <f t="shared" si="71"/>
        <v>17639.699749452055</v>
      </c>
      <c r="EL3" s="76">
        <f t="shared" si="72"/>
        <v>4.3118454168722391E-2</v>
      </c>
      <c r="EM3" s="75">
        <f>('ER18'!$L$132)/'ER18'!$L$8</f>
        <v>12589.390472739726</v>
      </c>
      <c r="EN3" s="75">
        <f>('ER18'!$L$133)/'ER18'!$L$8</f>
        <v>5050.3092767123289</v>
      </c>
      <c r="EO3" s="75">
        <f t="shared" si="73"/>
        <v>2328.8173972602735</v>
      </c>
      <c r="EP3" s="76">
        <f t="shared" si="74"/>
        <v>5.6925575626200599E-3</v>
      </c>
      <c r="EQ3" s="75">
        <f>'ER18'!$L$136/'ER18'!$L$8</f>
        <v>2328.8173972602735</v>
      </c>
      <c r="ER3" s="75">
        <f t="shared" si="75"/>
        <v>93232.356881651373</v>
      </c>
      <c r="ES3" s="76">
        <f t="shared" si="76"/>
        <v>0.22789702570579917</v>
      </c>
      <c r="ET3" s="65">
        <f>('ER18'!$L$139)/'ER18'!$L$5</f>
        <v>67357.519305555485</v>
      </c>
      <c r="EU3" s="75">
        <f>'ER18'!$L$140/'ER18'!$L$8</f>
        <v>12180.983698630138</v>
      </c>
      <c r="EV3" s="65">
        <f>('ER18'!$L$141)/'ER18'!$L$8</f>
        <v>11679.761095890412</v>
      </c>
      <c r="EW3" s="75">
        <f>('ER18'!$L$142)/'ER18'!$L$8</f>
        <v>2014.0927815753425</v>
      </c>
      <c r="EX3" s="75">
        <f t="shared" si="77"/>
        <v>15433.327945205478</v>
      </c>
      <c r="EY3" s="76">
        <f t="shared" si="78"/>
        <v>3.7725202420005828E-2</v>
      </c>
      <c r="EZ3" s="75">
        <f>('ER18'!$L$145)/'ER18'!$L$8</f>
        <v>10586.136164383561</v>
      </c>
      <c r="FA3" s="75">
        <f>('ER18'!$L$146)/'ER18'!$L$8</f>
        <v>4847.1917808219177</v>
      </c>
      <c r="FB3" s="75">
        <f t="shared" ref="FB3" si="187">SUM(FD3)</f>
        <v>16090.462916666667</v>
      </c>
      <c r="FC3" s="76">
        <f t="shared" si="80"/>
        <v>3.9331502104925024E-2</v>
      </c>
      <c r="FD3" s="65">
        <f>'ER18'!$L$149/'ER18'!$L$5</f>
        <v>16090.462916666667</v>
      </c>
      <c r="FE3" s="77">
        <f t="shared" si="81"/>
        <v>64064.695276143</v>
      </c>
      <c r="FF3" s="70">
        <f t="shared" si="82"/>
        <v>0.15659963980868472</v>
      </c>
      <c r="FG3" s="64" t="str">
        <f t="shared" si="83"/>
        <v>ACEPTABLE</v>
      </c>
      <c r="FK3" s="68">
        <f t="shared" si="84"/>
        <v>13179.672314152969</v>
      </c>
      <c r="FL3" s="68">
        <f t="shared" si="85"/>
        <v>4.6452539701189037</v>
      </c>
      <c r="FM3" s="59"/>
      <c r="FN3" s="67">
        <f t="shared" si="86"/>
        <v>409098.61194067763</v>
      </c>
      <c r="FO3" s="69">
        <f t="shared" si="87"/>
        <v>201432.81977591035</v>
      </c>
      <c r="FP3" s="70">
        <f t="shared" si="88"/>
        <v>0.49238206607535401</v>
      </c>
      <c r="FQ3" s="71">
        <f>R3*L3*'ER18'!$AB$3</f>
        <v>120392.38095238093</v>
      </c>
      <c r="FR3" s="72">
        <f t="shared" si="89"/>
        <v>44460</v>
      </c>
      <c r="FS3" s="73">
        <f t="shared" si="90"/>
        <v>30030</v>
      </c>
      <c r="FT3" s="74">
        <f>SUM('ER18'!$AF$19:$AF$20)/'ER18'!$AF$8*-1</f>
        <v>6550.4388235294118</v>
      </c>
      <c r="FU3" s="75">
        <f t="shared" si="91"/>
        <v>16465.531481617647</v>
      </c>
      <c r="FV3" s="76">
        <f t="shared" si="92"/>
        <v>4.0248319111885117E-2</v>
      </c>
      <c r="FW3" s="75">
        <f>('ER18'!$AF$132)/'ER18'!$AF$8</f>
        <v>11693.041334573531</v>
      </c>
      <c r="FX3" s="75">
        <f>('ER18'!$AF$133)/'ER18'!$AF$8</f>
        <v>4772.4901470441182</v>
      </c>
      <c r="FY3" s="75">
        <f t="shared" si="93"/>
        <v>2186.9889705882351</v>
      </c>
      <c r="FZ3" s="76">
        <f t="shared" si="94"/>
        <v>5.3458723807778769E-3</v>
      </c>
      <c r="GA3" s="75">
        <f>'ER18'!$AF$136/'ER18'!$AF$8</f>
        <v>2186.9889705882351</v>
      </c>
      <c r="GB3" s="75">
        <f t="shared" si="95"/>
        <v>89288.626500318584</v>
      </c>
      <c r="GC3" s="76">
        <f t="shared" si="96"/>
        <v>0.21825697739904848</v>
      </c>
      <c r="GD3" s="65">
        <f>('ER18'!$AF$139)/'ER18'!$AF$5</f>
        <v>67612.202083333294</v>
      </c>
      <c r="GE3" s="75">
        <f>'ER18'!$AF$140/'ER18'!$AF$8</f>
        <v>13132.153970588237</v>
      </c>
      <c r="GF3" s="65">
        <f>('ER18'!$AF$141)/'ER18'!$AF$8</f>
        <v>6349.2911764705877</v>
      </c>
      <c r="GG3" s="75">
        <f>('ER18'!$AF$142)/'ER18'!$AF$8</f>
        <v>2194.9792699264704</v>
      </c>
      <c r="GH3" s="75">
        <f t="shared" si="97"/>
        <v>18383.139411764707</v>
      </c>
      <c r="GI3" s="76">
        <f t="shared" si="98"/>
        <v>4.4935716903459939E-2</v>
      </c>
      <c r="GJ3" s="75">
        <f>('ER18'!$AF$145)/'ER18'!$AF$8</f>
        <v>14589.613235294119</v>
      </c>
      <c r="GK3" s="75">
        <f>('ER18'!$AF$146)/'ER18'!$AF$8</f>
        <v>3793.5261764705883</v>
      </c>
      <c r="GL3" s="75">
        <f t="shared" ref="GL3" si="188">SUM(GN3)</f>
        <v>14914.37402777778</v>
      </c>
      <c r="GM3" s="76">
        <f t="shared" si="100"/>
        <v>3.6456672285019816E-2</v>
      </c>
      <c r="GN3" s="65">
        <f>'ER18'!$AF$149/'ER18'!$AF$5</f>
        <v>14914.37402777778</v>
      </c>
      <c r="GO3" s="77">
        <f t="shared" si="101"/>
        <v>66427.131772700319</v>
      </c>
      <c r="GP3" s="70">
        <f t="shared" si="102"/>
        <v>0.16237437584445472</v>
      </c>
      <c r="GQ3" s="64" t="str">
        <f t="shared" si="103"/>
        <v>ACEPTABLE</v>
      </c>
      <c r="GU3" s="68">
        <f t="shared" si="104"/>
        <v>13469.154730089562</v>
      </c>
      <c r="GV3" s="68">
        <f t="shared" si="105"/>
        <v>4.1189223047796464</v>
      </c>
      <c r="GW3" s="59"/>
      <c r="GX3" s="67">
        <f t="shared" si="106"/>
        <v>409098.61194067763</v>
      </c>
      <c r="GY3" s="69">
        <f t="shared" si="107"/>
        <v>202346.78360248447</v>
      </c>
      <c r="GZ3" s="70">
        <f t="shared" si="108"/>
        <v>0.49461615780751239</v>
      </c>
      <c r="HA3" s="71">
        <f>R3*L3*'ER18'!$AJ$3</f>
        <v>121958.57142857141</v>
      </c>
      <c r="HB3" s="72">
        <f t="shared" si="109"/>
        <v>44460</v>
      </c>
      <c r="HC3" s="73">
        <f t="shared" si="110"/>
        <v>30030</v>
      </c>
      <c r="HD3" s="74">
        <f>SUM('ER18'!$AJ$19:$AJ$20)/'ER18'!$AJ$8*-1</f>
        <v>5898.2121739130434</v>
      </c>
      <c r="HE3" s="75">
        <f t="shared" si="111"/>
        <v>16762.153256869569</v>
      </c>
      <c r="HF3" s="76">
        <f t="shared" si="112"/>
        <v>4.0973380910175779E-2</v>
      </c>
      <c r="HG3" s="75">
        <f>('ER18'!$AJ$132)/'ER18'!$AJ$8</f>
        <v>11860.747025000002</v>
      </c>
      <c r="HH3" s="75">
        <f>('ER18'!$AJ$133)/'ER18'!$AJ$8</f>
        <v>4901.4062318695651</v>
      </c>
      <c r="HI3" s="75">
        <f t="shared" si="113"/>
        <v>2186.9889705882351</v>
      </c>
      <c r="HJ3" s="76">
        <f t="shared" si="114"/>
        <v>5.3458723807778769E-3</v>
      </c>
      <c r="HK3" s="75">
        <f>'ER18'!$AF$136/'ER18'!$AF$8</f>
        <v>2186.9889705882351</v>
      </c>
      <c r="HL3" s="75">
        <f t="shared" si="115"/>
        <v>97947.3812948985</v>
      </c>
      <c r="HM3" s="76">
        <f t="shared" si="116"/>
        <v>0.2394224239242875</v>
      </c>
      <c r="HN3" s="65">
        <f>('ER18'!$AJ$139)/'ER18'!$AJ$5</f>
        <v>69924.344166666619</v>
      </c>
      <c r="HO3" s="75">
        <f>'ER18'!$AJ$140/'ER18'!$AJ$8</f>
        <v>13091.294202898551</v>
      </c>
      <c r="HP3" s="65">
        <f>('ER18'!$AJ$141)/'ER18'!$AJ$8</f>
        <v>12768.095507246377</v>
      </c>
      <c r="HQ3" s="75">
        <f>('ER18'!$AJ$142)/'ER18'!$AJ$8</f>
        <v>2163.6474180869568</v>
      </c>
      <c r="HR3" s="75">
        <f t="shared" si="117"/>
        <v>15734.750579710144</v>
      </c>
      <c r="HS3" s="76">
        <f t="shared" si="118"/>
        <v>3.8461999431060892E-2</v>
      </c>
      <c r="HT3" s="75">
        <f>('ER18'!$AJ$145)/'ER18'!$AJ$8</f>
        <v>11654.263913043478</v>
      </c>
      <c r="HU3" s="75">
        <f>('ER18'!$AJ$146)/'ER18'!$AJ$8</f>
        <v>4080.4866666666667</v>
      </c>
      <c r="HV3" s="75">
        <f t="shared" ref="HV3" si="189">SUM(HX3)</f>
        <v>15219.965277777777</v>
      </c>
      <c r="HW3" s="76">
        <f t="shared" si="120"/>
        <v>3.7203659053198612E-2</v>
      </c>
      <c r="HX3" s="65">
        <f>'ER18'!$AJ$149/'ER18'!$AJ$5</f>
        <v>15219.965277777777</v>
      </c>
      <c r="HY3" s="77">
        <f t="shared" si="121"/>
        <v>58900.588958348948</v>
      </c>
      <c r="HZ3" s="70">
        <f t="shared" si="122"/>
        <v>0.14397650649298702</v>
      </c>
      <c r="IA3" s="64" t="str">
        <f t="shared" si="123"/>
        <v>ACEPTABLE</v>
      </c>
      <c r="IE3" s="68" t="e">
        <f t="shared" si="124"/>
        <v>#DIV/0!</v>
      </c>
      <c r="IF3" s="68" t="e">
        <f t="shared" si="125"/>
        <v>#DIV/0!</v>
      </c>
      <c r="IG3" s="59"/>
      <c r="IH3" s="67">
        <f t="shared" si="126"/>
        <v>409098.61194067763</v>
      </c>
      <c r="II3" s="69" t="e">
        <f t="shared" si="127"/>
        <v>#DIV/0!</v>
      </c>
      <c r="IJ3" s="70" t="e">
        <f t="shared" si="128"/>
        <v>#DIV/0!</v>
      </c>
      <c r="IK3" s="71">
        <f>R3*L3*'ER18'!$AN$3</f>
        <v>0</v>
      </c>
      <c r="IL3" s="72">
        <f t="shared" si="129"/>
        <v>44460</v>
      </c>
      <c r="IM3" s="73">
        <f t="shared" si="130"/>
        <v>30030</v>
      </c>
      <c r="IN3" s="74" t="e">
        <f>SUM('ER18'!$AN$19:$AN$20)/'ER18'!$AN$8*-1</f>
        <v>#DIV/0!</v>
      </c>
      <c r="IO3" s="75" t="e">
        <f t="shared" si="131"/>
        <v>#DIV/0!</v>
      </c>
      <c r="IP3" s="76" t="e">
        <f t="shared" si="132"/>
        <v>#DIV/0!</v>
      </c>
      <c r="IQ3" s="75" t="e">
        <f>('ER18'!$AN$132)/'ER18'!$AN$8</f>
        <v>#DIV/0!</v>
      </c>
      <c r="IR3" s="75" t="e">
        <f>('ER18'!$AN$133)/'ER18'!$AN$8</f>
        <v>#DIV/0!</v>
      </c>
      <c r="IS3" s="75" t="e">
        <f t="shared" si="133"/>
        <v>#DIV/0!</v>
      </c>
      <c r="IT3" s="76" t="e">
        <f t="shared" si="134"/>
        <v>#DIV/0!</v>
      </c>
      <c r="IU3" s="75" t="e">
        <f>'ER18'!$AN$136/'ER18'!$AN$8</f>
        <v>#DIV/0!</v>
      </c>
      <c r="IV3" s="75" t="e">
        <f t="shared" si="135"/>
        <v>#DIV/0!</v>
      </c>
      <c r="IW3" s="76" t="e">
        <f t="shared" si="136"/>
        <v>#DIV/0!</v>
      </c>
      <c r="IX3" s="65" t="e">
        <f>('ER18'!$AN$139)/'ER18'!$AN$5</f>
        <v>#DIV/0!</v>
      </c>
      <c r="IY3" s="75" t="e">
        <f>'ER18'!$AN$140/'ER18'!$AN$8</f>
        <v>#DIV/0!</v>
      </c>
      <c r="IZ3" s="65" t="e">
        <f>('ER18'!$AN$141)/'ER18'!$AN$8</f>
        <v>#DIV/0!</v>
      </c>
      <c r="JA3" s="75" t="e">
        <f>('ER18'!$AN$142)/'ER18'!$AN$8</f>
        <v>#DIV/0!</v>
      </c>
      <c r="JB3" s="75" t="e">
        <f t="shared" si="137"/>
        <v>#DIV/0!</v>
      </c>
      <c r="JC3" s="76" t="e">
        <f t="shared" si="138"/>
        <v>#DIV/0!</v>
      </c>
      <c r="JD3" s="75" t="e">
        <f>('ER18'!$AN$145)/'ER18'!$AN$8</f>
        <v>#DIV/0!</v>
      </c>
      <c r="JE3" s="75" t="e">
        <f>('ER18'!$AN$146)/'ER18'!$AN$8</f>
        <v>#DIV/0!</v>
      </c>
      <c r="JF3" s="75" t="e">
        <f t="shared" ref="JF3" si="190">SUM(JH3)</f>
        <v>#DIV/0!</v>
      </c>
      <c r="JG3" s="76" t="e">
        <f t="shared" si="140"/>
        <v>#DIV/0!</v>
      </c>
      <c r="JH3" s="65" t="e">
        <f>'ER18'!$AN$149/'ER18'!$AN$5</f>
        <v>#DIV/0!</v>
      </c>
      <c r="JI3" s="77" t="e">
        <f t="shared" si="141"/>
        <v>#DIV/0!</v>
      </c>
      <c r="JJ3" s="70" t="e">
        <f t="shared" si="142"/>
        <v>#DIV/0!</v>
      </c>
      <c r="JK3" s="64" t="e">
        <f t="shared" si="143"/>
        <v>#DIV/0!</v>
      </c>
      <c r="JO3" s="68" t="e">
        <f t="shared" si="144"/>
        <v>#DIV/0!</v>
      </c>
      <c r="JP3" s="68" t="e">
        <f t="shared" si="145"/>
        <v>#DIV/0!</v>
      </c>
      <c r="JQ3" s="59"/>
      <c r="JR3" s="67">
        <f t="shared" si="146"/>
        <v>409098.61194067763</v>
      </c>
      <c r="JS3" s="69" t="e">
        <f t="shared" si="147"/>
        <v>#DIV/0!</v>
      </c>
      <c r="JT3" s="70" t="e">
        <f t="shared" si="148"/>
        <v>#DIV/0!</v>
      </c>
      <c r="JU3" s="71">
        <f>R3*L3*'ER18'!$AN$3</f>
        <v>0</v>
      </c>
      <c r="JV3" s="72">
        <f t="shared" si="149"/>
        <v>44460</v>
      </c>
      <c r="JW3" s="73">
        <f t="shared" si="150"/>
        <v>30030</v>
      </c>
      <c r="JX3" s="74" t="e">
        <f>SUM('ER18'!$AR$19:$AR$20)/'ER18'!$AR$8*-1</f>
        <v>#DIV/0!</v>
      </c>
      <c r="JY3" s="75" t="e">
        <f t="shared" si="151"/>
        <v>#DIV/0!</v>
      </c>
      <c r="JZ3" s="76" t="e">
        <f t="shared" si="152"/>
        <v>#DIV/0!</v>
      </c>
      <c r="KA3" s="75" t="e">
        <f>('ER18'!$AR$132)/'ER18'!$AR$8</f>
        <v>#DIV/0!</v>
      </c>
      <c r="KB3" s="75" t="e">
        <f>('ER18'!$AR$133)/'ER18'!$AR$8</f>
        <v>#DIV/0!</v>
      </c>
      <c r="KC3" s="75" t="e">
        <f t="shared" si="153"/>
        <v>#DIV/0!</v>
      </c>
      <c r="KD3" s="76" t="e">
        <f t="shared" si="154"/>
        <v>#DIV/0!</v>
      </c>
      <c r="KE3" s="75" t="e">
        <f>'ER18'!$AR$136/'ER18'!$AR$8</f>
        <v>#DIV/0!</v>
      </c>
      <c r="KF3" s="75" t="e">
        <f t="shared" si="155"/>
        <v>#DIV/0!</v>
      </c>
      <c r="KG3" s="76" t="e">
        <f t="shared" si="156"/>
        <v>#DIV/0!</v>
      </c>
      <c r="KH3" s="65" t="e">
        <f>('ER18'!$AR$139)/'ER18'!$AR$5</f>
        <v>#DIV/0!</v>
      </c>
      <c r="KI3" s="75" t="e">
        <f>'ER18'!$AR$140/'ER18'!$AR$8</f>
        <v>#DIV/0!</v>
      </c>
      <c r="KJ3" s="65" t="e">
        <f>('ER18'!$AR$141)/'ER18'!$AR$8</f>
        <v>#DIV/0!</v>
      </c>
      <c r="KK3" s="75" t="e">
        <f>('ER18'!$AR$142)/'ER18'!$AR$8</f>
        <v>#DIV/0!</v>
      </c>
      <c r="KL3" s="75" t="e">
        <f t="shared" si="157"/>
        <v>#DIV/0!</v>
      </c>
      <c r="KM3" s="76" t="e">
        <f t="shared" si="158"/>
        <v>#DIV/0!</v>
      </c>
      <c r="KN3" s="75" t="e">
        <f>('ER18'!$AR$145)/'ER18'!$AR$8</f>
        <v>#DIV/0!</v>
      </c>
      <c r="KO3" s="75" t="e">
        <f>('ER18'!$AR$146)/'ER18'!$AR$8</f>
        <v>#DIV/0!</v>
      </c>
      <c r="KP3" s="75" t="e">
        <f t="shared" ref="KP3" si="191">SUM(KR3)</f>
        <v>#DIV/0!</v>
      </c>
      <c r="KQ3" s="76" t="e">
        <f t="shared" si="160"/>
        <v>#DIV/0!</v>
      </c>
      <c r="KR3" s="65" t="e">
        <f>'ER18'!$AR$149/'ER18'!$AR$5</f>
        <v>#DIV/0!</v>
      </c>
      <c r="KS3" s="77" t="e">
        <f t="shared" si="161"/>
        <v>#DIV/0!</v>
      </c>
      <c r="KT3" s="70" t="e">
        <f t="shared" si="162"/>
        <v>#DIV/0!</v>
      </c>
      <c r="KU3" s="64" t="e">
        <f t="shared" si="163"/>
        <v>#DIV/0!</v>
      </c>
      <c r="KY3" s="68" t="e">
        <f t="shared" si="164"/>
        <v>#DIV/0!</v>
      </c>
      <c r="KZ3" s="68" t="e">
        <f t="shared" si="165"/>
        <v>#DIV/0!</v>
      </c>
      <c r="LA3" s="59"/>
      <c r="LB3" s="67">
        <f t="shared" si="166"/>
        <v>409098.61194067763</v>
      </c>
      <c r="LC3" s="69" t="e">
        <f t="shared" si="167"/>
        <v>#DIV/0!</v>
      </c>
      <c r="LD3" s="70" t="e">
        <f t="shared" si="168"/>
        <v>#DIV/0!</v>
      </c>
      <c r="LE3" s="71">
        <f>R3*L3*'ER18'!$AN$3</f>
        <v>0</v>
      </c>
      <c r="LF3" s="72">
        <f t="shared" si="169"/>
        <v>44460</v>
      </c>
      <c r="LG3" s="73">
        <f t="shared" si="170"/>
        <v>30030</v>
      </c>
      <c r="LH3" s="74" t="e">
        <f>SUM('ER18'!$AV$19:$AV$20)/'ER18'!$AV$8*-1</f>
        <v>#DIV/0!</v>
      </c>
      <c r="LI3" s="75" t="e">
        <f t="shared" si="171"/>
        <v>#DIV/0!</v>
      </c>
      <c r="LJ3" s="76" t="e">
        <f t="shared" si="172"/>
        <v>#DIV/0!</v>
      </c>
      <c r="LK3" s="75" t="e">
        <f>('ER18'!$AV$132)/'ER18'!$AV$8</f>
        <v>#DIV/0!</v>
      </c>
      <c r="LL3" s="75" t="e">
        <f>('ER18'!$AV$133)/'ER18'!$AV$8</f>
        <v>#DIV/0!</v>
      </c>
      <c r="LM3" s="75" t="e">
        <f t="shared" si="173"/>
        <v>#DIV/0!</v>
      </c>
      <c r="LN3" s="76" t="e">
        <f t="shared" si="174"/>
        <v>#DIV/0!</v>
      </c>
      <c r="LO3" s="75" t="e">
        <f>'ER18'!$AV$136/'ER18'!$AV$8</f>
        <v>#DIV/0!</v>
      </c>
      <c r="LP3" s="75" t="e">
        <f t="shared" si="175"/>
        <v>#DIV/0!</v>
      </c>
      <c r="LQ3" s="76" t="e">
        <f t="shared" si="176"/>
        <v>#DIV/0!</v>
      </c>
      <c r="LR3" s="65" t="e">
        <f>('ER18'!$AV$139)/'ER18'!$AV$5</f>
        <v>#DIV/0!</v>
      </c>
      <c r="LS3" s="75" t="e">
        <f>'ER18'!$AV$140/'ER18'!$AV$8</f>
        <v>#DIV/0!</v>
      </c>
      <c r="LT3" s="65" t="e">
        <f>('ER18'!$AV$141)/'ER18'!$AV$8</f>
        <v>#DIV/0!</v>
      </c>
      <c r="LU3" s="75" t="e">
        <f>('ER18'!$AV$142)/'ER18'!$AV$8</f>
        <v>#DIV/0!</v>
      </c>
      <c r="LV3" s="75" t="e">
        <f t="shared" si="177"/>
        <v>#DIV/0!</v>
      </c>
      <c r="LW3" s="76" t="e">
        <f t="shared" si="178"/>
        <v>#DIV/0!</v>
      </c>
      <c r="LX3" s="75" t="e">
        <f>('ER18'!$AV$145)/'ER18'!$AV$8</f>
        <v>#DIV/0!</v>
      </c>
      <c r="LY3" s="75" t="e">
        <f>('ER18'!$AV$146)/'ER18'!$AV$8</f>
        <v>#DIV/0!</v>
      </c>
      <c r="LZ3" s="75" t="e">
        <f t="shared" ref="LZ3" si="192">SUM(MB3)</f>
        <v>#DIV/0!</v>
      </c>
      <c r="MA3" s="76" t="e">
        <f t="shared" si="180"/>
        <v>#DIV/0!</v>
      </c>
      <c r="MB3" s="65" t="e">
        <f>'ER18'!$AV$149/'ER18'!$AV$5</f>
        <v>#DIV/0!</v>
      </c>
      <c r="MC3" s="77" t="e">
        <f t="shared" si="181"/>
        <v>#DIV/0!</v>
      </c>
      <c r="MD3" s="70" t="e">
        <f t="shared" si="182"/>
        <v>#DIV/0!</v>
      </c>
      <c r="ME3" s="64" t="e">
        <f t="shared" si="183"/>
        <v>#DIV/0!</v>
      </c>
    </row>
    <row r="4" spans="1:343" s="64" customFormat="1" ht="11.25" x14ac:dyDescent="0.2">
      <c r="A4" s="64">
        <v>441</v>
      </c>
      <c r="B4" s="84">
        <v>43598</v>
      </c>
      <c r="C4" s="143" t="s">
        <v>189</v>
      </c>
      <c r="D4" s="143" t="s">
        <v>132</v>
      </c>
      <c r="E4" s="143" t="s">
        <v>192</v>
      </c>
      <c r="F4" s="65" t="s">
        <v>129</v>
      </c>
      <c r="G4" s="139">
        <v>74165.416062517077</v>
      </c>
      <c r="H4" s="118">
        <f t="shared" ref="H4:H5" si="193">IF(BB4="TWO WAY",I4*2,I4*1)</f>
        <v>2260</v>
      </c>
      <c r="I4" s="78">
        <v>1130</v>
      </c>
      <c r="J4" s="66">
        <v>6865</v>
      </c>
      <c r="K4" s="81">
        <v>2.1</v>
      </c>
      <c r="L4" s="83">
        <v>6</v>
      </c>
      <c r="M4" s="80">
        <f t="shared" ref="M4" si="194">IFERROR(IF(F4="Viaje Full",2.1,IF(F4="Viaje Sencillo",1.9)),"Revisar")</f>
        <v>2.1</v>
      </c>
      <c r="N4" s="67">
        <f t="shared" ref="N4:N5" si="195">G4</f>
        <v>74165.416062517077</v>
      </c>
      <c r="O4" s="68">
        <f t="shared" ref="O4:O5" si="196">(X4+AK4+AD4+AH4+AQ4+AU4)/L4</f>
        <v>66677.840204145599</v>
      </c>
      <c r="P4" s="68">
        <f t="shared" ref="P4:P5" si="197">N4-O4</f>
        <v>7487.5758583714778</v>
      </c>
      <c r="Q4" s="141">
        <f t="shared" ref="Q4:Q5" si="198">H4*L4</f>
        <v>13560</v>
      </c>
      <c r="R4" s="141">
        <f t="shared" ref="R4:R5" si="199">H4/K4</f>
        <v>1076.1904761904761</v>
      </c>
      <c r="S4" s="141">
        <f t="shared" ref="S4:S5" si="200">G4/H4</f>
        <v>32.816555779874811</v>
      </c>
      <c r="T4" s="141">
        <f t="shared" ref="T4:T5" si="201">O4/H4</f>
        <v>29.503469116878584</v>
      </c>
      <c r="U4" s="141">
        <f t="shared" ref="U4:U5" si="202">(AX4/L4)/H4</f>
        <v>3.3130866629962292</v>
      </c>
      <c r="V4" s="59"/>
      <c r="W4" s="127">
        <f t="shared" ref="W4:W5" si="203">+L4*N4</f>
        <v>444992.49637510243</v>
      </c>
      <c r="X4" s="126">
        <f t="shared" ref="X4:X5" si="204">Z4+AA4+AB4+AC4</f>
        <v>259086.68095757579</v>
      </c>
      <c r="Y4" s="70">
        <f t="shared" ref="Y4:Y5" si="205">X4/W4</f>
        <v>0.58222707813747265</v>
      </c>
      <c r="Z4" s="72">
        <f>R4*L4*'ER18'!$BD$3</f>
        <v>135600</v>
      </c>
      <c r="AA4" s="72">
        <f>IF(BB4="TWO WAY",(J4*2*L4)*'ER18'!$BD$6,(J4*1*L4)*'ER18'!$BD$6)</f>
        <v>88970.400000000009</v>
      </c>
      <c r="AB4" s="72">
        <f t="shared" ref="AB4:AB5" si="206">H4*M4*L4</f>
        <v>28476</v>
      </c>
      <c r="AC4" s="74">
        <f>'ER18'!$BD$129/'ER18'!$BD$8</f>
        <v>6040.2809575757583</v>
      </c>
      <c r="AD4" s="126">
        <f t="shared" ref="AD4:AD5" si="207">SUM(AF4:AG4)</f>
        <v>16277.567324506665</v>
      </c>
      <c r="AE4" s="76">
        <f t="shared" ref="AE4:AE5" si="208">AD4/W4</f>
        <v>3.6579419781464437E-2</v>
      </c>
      <c r="AF4" s="72">
        <f>'ER18'!$BD$132/'ER18'!$BD$8</f>
        <v>11764.15967760121</v>
      </c>
      <c r="AG4" s="72">
        <f>'ER18'!$BD$133/'ER18'!$BD$8</f>
        <v>4513.4076469054553</v>
      </c>
      <c r="AH4" s="126">
        <f t="shared" ref="AH4:AH5" si="209">AJ4</f>
        <v>3143.4067515151514</v>
      </c>
      <c r="AI4" s="76">
        <f t="shared" ref="AI4:AI5" si="210">AH4/W4</f>
        <v>7.0639545096181687E-3</v>
      </c>
      <c r="AJ4" s="75">
        <f>'ER18'!$BD$136/'ER18'!$BD$8</f>
        <v>3143.4067515151514</v>
      </c>
      <c r="AK4" s="126">
        <f t="shared" ref="AK4:AK5" si="211">SUM(AM4:AP4)</f>
        <v>89021.581233022764</v>
      </c>
      <c r="AL4" s="76">
        <f t="shared" ref="AL4:AL5" si="212">AK4/W4</f>
        <v>0.20005187044318792</v>
      </c>
      <c r="AM4" s="65">
        <f>'ER18'!$BD$139/'ER18'!$BD$5</f>
        <v>65524.036435185197</v>
      </c>
      <c r="AN4" s="75">
        <f>'ER18'!$BD$140/'ER18'!$BD$8</f>
        <v>13161.451340606063</v>
      </c>
      <c r="AO4" s="65">
        <f>'ER18'!$BD$141/'ER18'!$BD$8</f>
        <v>8564.4664969696969</v>
      </c>
      <c r="AP4" s="75">
        <f>'ER18'!$BD$142/'ER18'!$BD$8</f>
        <v>1771.6269602618183</v>
      </c>
      <c r="AQ4" s="126">
        <f t="shared" ref="AQ4:AQ5" si="213">SUM(AS4:AT4)</f>
        <v>16591.309865660605</v>
      </c>
      <c r="AR4" s="76">
        <f t="shared" ref="AR4:AR5" si="214">AQ4/W4</f>
        <v>3.7284471088418328E-2</v>
      </c>
      <c r="AS4" s="75">
        <f>('ER18'!$BD$145)/'ER18'!$BD$8</f>
        <v>12141.341139393939</v>
      </c>
      <c r="AT4" s="75">
        <f>'ER18'!$BD$146/'ER18'!$BD$8</f>
        <v>4449.9687262666666</v>
      </c>
      <c r="AU4" s="126">
        <f t="shared" ref="AU4:AU5" si="215">SUM(AW4)</f>
        <v>15946.495092592593</v>
      </c>
      <c r="AV4" s="76">
        <f t="shared" ref="AV4:AV5" si="216">AU4/W4</f>
        <v>3.5835424692533778E-2</v>
      </c>
      <c r="AW4" s="65">
        <f>'ER18'!$BD$149/'ER18'!$BD$5</f>
        <v>15946.495092592593</v>
      </c>
      <c r="AX4" s="77">
        <f t="shared" ref="AX4:AX5" si="217">W4-X4-AD4-AH4-AK4-AQ4-AU4</f>
        <v>44925.455150228867</v>
      </c>
      <c r="AY4" s="70">
        <f t="shared" ref="AY4:AY5" si="218">AX4/W4</f>
        <v>0.1009577813473047</v>
      </c>
      <c r="AZ4" s="64" t="str">
        <f t="shared" ref="AZ4:AZ5" si="219">IF(AY4&gt;$AZ$1,"ACEPTABLE","REVISAR % U.O.")</f>
        <v>ACEPTABLE</v>
      </c>
      <c r="BA4" s="74">
        <f t="shared" ref="BA4:BA5" si="220">624/+(((H4/65)+((H4/65)/14)*8)+8+8+8)</f>
        <v>7.9351593068753505</v>
      </c>
      <c r="BB4" s="64" t="s">
        <v>186</v>
      </c>
      <c r="BD4" s="85">
        <v>0.10100000000000001</v>
      </c>
      <c r="BG4" s="68">
        <f t="shared" ref="BG4:BG5" si="221">(+BK4+BQ4+BU4+BX4+CD4+CH4)/L4</f>
        <v>61215.90277142069</v>
      </c>
      <c r="BH4" s="68">
        <f t="shared" ref="BH4:BH5" si="222">(CK4/L4)/H4</f>
        <v>5.7298731376532723</v>
      </c>
      <c r="BI4" s="59"/>
      <c r="BJ4" s="67">
        <f t="shared" ref="BJ4:BJ5" si="223">+L4*N4</f>
        <v>444992.49637510243</v>
      </c>
      <c r="BK4" s="69">
        <f t="shared" ref="BK4:BK5" si="224">BM4+BN4+BO4+BP4</f>
        <v>231511.78825396826</v>
      </c>
      <c r="BL4" s="70">
        <f t="shared" ref="BL4:BL5" si="225">BK4/BJ4</f>
        <v>0.52025998222409908</v>
      </c>
      <c r="BM4" s="71">
        <f>R4*L4*'ER18'!$D$3</f>
        <v>114162.28571428571</v>
      </c>
      <c r="BN4" s="72">
        <f>(J4*2*L4)*'ER18'!$D$6</f>
        <v>82380</v>
      </c>
      <c r="BO4" s="73">
        <f t="shared" ref="BO4:BO5" si="226">H4*M4*L4</f>
        <v>28476</v>
      </c>
      <c r="BP4" s="74">
        <f>SUM('ER18'!$D$129)/'ER18'!$D$8</f>
        <v>6493.5025396825395</v>
      </c>
      <c r="BQ4" s="75">
        <f t="shared" ref="BQ4:BQ5" si="227">SUM(BS4:BT4)</f>
        <v>17881.94554122222</v>
      </c>
      <c r="BR4" s="76">
        <f t="shared" ref="BR4:BR5" si="228">BQ4/BJ4</f>
        <v>4.0184824883313972E-2</v>
      </c>
      <c r="BS4" s="75">
        <f>('ER18'!$D$132)/'ER18'!$D$8</f>
        <v>13867.649826936507</v>
      </c>
      <c r="BT4" s="75">
        <f>('ER18'!$D$133)/'ER18'!$D$8</f>
        <v>4014.2957142857135</v>
      </c>
      <c r="BU4" s="75">
        <f t="shared" ref="BU4:BU5" si="229">BW4</f>
        <v>4932.3322222222223</v>
      </c>
      <c r="BV4" s="76">
        <f t="shared" ref="BV4:BV5" si="230">BU4/BJ4</f>
        <v>1.1084079534825587E-2</v>
      </c>
      <c r="BW4" s="75">
        <f>'ER18'!$D$136/'ER18'!$D$8</f>
        <v>4932.3322222222223</v>
      </c>
      <c r="BX4" s="75">
        <f t="shared" ref="BX4:BX5" si="231">SUM(BZ4:CC4)</f>
        <v>81019.172634920877</v>
      </c>
      <c r="BY4" s="76">
        <f t="shared" ref="BY4:BY5" si="232">BX4/BJ4</f>
        <v>0.18206862653842704</v>
      </c>
      <c r="BZ4" s="65">
        <f>('ER18'!$D$139)/'ER18'!$D$5</f>
        <v>56411.991111111354</v>
      </c>
      <c r="CA4" s="75">
        <f>'ER18'!$D$140/'ER18'!$D$8</f>
        <v>10217.731523809523</v>
      </c>
      <c r="CB4" s="65">
        <f>('ER18'!$D$141)/'ER18'!$D$8</f>
        <v>12246.49857142857</v>
      </c>
      <c r="CC4" s="75">
        <f>('ER18'!$D$142)/'ER18'!$D$8</f>
        <v>2142.9514285714286</v>
      </c>
      <c r="CD4" s="75">
        <f t="shared" ref="CD4:CD5" si="233">SUM(CF4:CG4)</f>
        <v>15157.73714285714</v>
      </c>
      <c r="CE4" s="76">
        <f t="shared" ref="CE4:CE5" si="234">CD4/BJ4</f>
        <v>3.4062905029481803E-2</v>
      </c>
      <c r="CF4" s="75">
        <f>('ER18'!$D$145)/'ER18'!$D$8</f>
        <v>11368.493968253966</v>
      </c>
      <c r="CG4" s="75">
        <f>('ER18'!$D$146)/'ER18'!$D$8</f>
        <v>3789.2431746031748</v>
      </c>
      <c r="CH4" s="75">
        <f t="shared" ref="CH4:CH5" si="235">SUM(CJ4)</f>
        <v>16792.44083333333</v>
      </c>
      <c r="CI4" s="76">
        <f t="shared" ref="CI4:CI5" si="236">CH4/BJ4</f>
        <v>3.7736458412499368E-2</v>
      </c>
      <c r="CJ4" s="65">
        <f>'ER18'!$D$149/'ER18'!$D$5</f>
        <v>16792.44083333333</v>
      </c>
      <c r="CK4" s="77">
        <f t="shared" ref="CK4:CK5" si="237">BJ4-BK4-BQ4-BU4-BX4-CD4-CH4</f>
        <v>77697.079746578369</v>
      </c>
      <c r="CL4" s="70">
        <f t="shared" ref="CL4:CL5" si="238">CK4/BJ4</f>
        <v>0.17460312337735312</v>
      </c>
      <c r="CM4" s="64" t="str">
        <f t="shared" ref="CM4:CM5" si="239">IF(CL4&gt;$AZ$1,"ACEPTABLE","REVISAR % U.O.")</f>
        <v>ACEPTABLE</v>
      </c>
      <c r="CQ4" s="68">
        <f t="shared" ref="CQ4:CQ5" si="240">(+CU4+DA4+DE4+DH4+DN4+DR4)/L4</f>
        <v>62884.218963052765</v>
      </c>
      <c r="CR4" s="68" t="e">
        <f>(DU4/#REF!)/H4</f>
        <v>#REF!</v>
      </c>
      <c r="CS4" s="59"/>
      <c r="CT4" s="67">
        <f t="shared" ref="CT4:CT5" si="241">L4*N4</f>
        <v>444992.49637510243</v>
      </c>
      <c r="CU4" s="69">
        <f t="shared" ref="CU4:CU5" si="242">CW4+CX4+CY4+CZ4</f>
        <v>231121.51939075629</v>
      </c>
      <c r="CV4" s="70">
        <f t="shared" ref="CV4:CV5" si="243">CU4/CT4</f>
        <v>0.51938295875428531</v>
      </c>
      <c r="CW4" s="71">
        <f>R4*L4*'ER18'!$H$3</f>
        <v>114162.28571428571</v>
      </c>
      <c r="CX4" s="72">
        <f>(J4*2*L4)*'ER18'!$D$6</f>
        <v>82380</v>
      </c>
      <c r="CY4" s="73">
        <f t="shared" ref="CY4:CY5" si="244">H4*M4*L4</f>
        <v>28476</v>
      </c>
      <c r="CZ4" s="74">
        <f>SUM('ER18'!$H$129)/'ER18'!$H$8</f>
        <v>6103.2336764705869</v>
      </c>
      <c r="DA4" s="75">
        <f t="shared" ref="DA4:DA5" si="245">SUM(DC4:DD4)</f>
        <v>15890.227561588235</v>
      </c>
      <c r="DB4" s="76">
        <f t="shared" ref="DB4:DB5" si="246">DA4/CT4</f>
        <v>3.5708978670493607E-2</v>
      </c>
      <c r="DC4" s="75">
        <f>('ER18'!$H$132)/'ER18'!$H$8</f>
        <v>10468.572014529411</v>
      </c>
      <c r="DD4" s="75">
        <f>('ER18'!$H$133)/'ER18'!$H$8</f>
        <v>5421.6555470588237</v>
      </c>
      <c r="DE4" s="75">
        <f t="shared" ref="DE4:DE5" si="247">DG4</f>
        <v>2500.0539705882352</v>
      </c>
      <c r="DF4" s="76">
        <f t="shared" ref="DF4:DF5" si="248">DE4/CT4</f>
        <v>5.6181935447307792E-3</v>
      </c>
      <c r="DG4" s="75">
        <f>'ER18'!$H$136/'ER18'!$H$8</f>
        <v>2500.0539705882352</v>
      </c>
      <c r="DH4" s="75">
        <f t="shared" ref="DH4:DH5" si="249">SUM(DJ4:DM4)</f>
        <v>95134.918468129006</v>
      </c>
      <c r="DI4" s="76">
        <f t="shared" ref="DI4:DI5" si="250">DH4/CT4</f>
        <v>0.21378993857895501</v>
      </c>
      <c r="DJ4" s="65">
        <f>('ER18'!$H$139)/'ER18'!$H$5</f>
        <v>67357.519305555485</v>
      </c>
      <c r="DK4" s="75">
        <f>'ER18'!$H$140/'ER18'!$H$8</f>
        <v>13076.644264705883</v>
      </c>
      <c r="DL4" s="65">
        <f>('ER18'!$H$141)/'ER18'!$H$8</f>
        <v>12538.56705882353</v>
      </c>
      <c r="DM4" s="75">
        <f>('ER18'!$H$142)/'ER18'!$H$8</f>
        <v>2162.1878390441175</v>
      </c>
      <c r="DN4" s="75">
        <f t="shared" ref="DN4:DN5" si="251">SUM(DP4:DQ4)</f>
        <v>16568.131470588232</v>
      </c>
      <c r="DO4" s="76">
        <f t="shared" ref="DO4:DO5" si="252">DN4/CT4</f>
        <v>3.7232383929059053E-2</v>
      </c>
      <c r="DP4" s="75">
        <f>('ER18'!$H$145)/'ER18'!$H$8</f>
        <v>11364.528529411764</v>
      </c>
      <c r="DQ4" s="75">
        <f>('ER18'!$H$146)/'ER18'!$H$8</f>
        <v>5203.6029411764703</v>
      </c>
      <c r="DR4" s="75">
        <f t="shared" ref="DR4:DR5" si="253">SUM(DT4)</f>
        <v>16090.462916666667</v>
      </c>
      <c r="DS4" s="76">
        <f t="shared" ref="DS4:DS5" si="254">DR4/CT4</f>
        <v>3.6158953348065799E-2</v>
      </c>
      <c r="DT4" s="65">
        <f>'ER18'!$H$149/'ER18'!$H$5</f>
        <v>16090.462916666667</v>
      </c>
      <c r="DU4" s="77">
        <f t="shared" ref="DU4:DU5" si="255">CT4-CU4-DA4-DE4-DH4-DN4-DR4</f>
        <v>67687.182596785773</v>
      </c>
      <c r="DV4" s="70">
        <f t="shared" ref="DV4:DV5" si="256">DU4/CT4</f>
        <v>0.15210859317441044</v>
      </c>
      <c r="DW4" s="64" t="str">
        <f t="shared" ref="DW4:DW5" si="257">IF(DV4&gt;$AZ$1,"ACEPTABLE","REVISAR % U.O.")</f>
        <v>ACEPTABLE</v>
      </c>
      <c r="EA4" s="68">
        <f t="shared" ref="EA4:EA5" si="258">(+EE4+EK4+EO4+ER4+EX4+FB4)/L4</f>
        <v>62528.303571073229</v>
      </c>
      <c r="EB4" s="68">
        <f t="shared" ref="EB4:EB5" si="259">(FE4/L4)/H4</f>
        <v>5.1491648192229382</v>
      </c>
      <c r="EC4" s="59"/>
      <c r="ED4" s="67">
        <f t="shared" ref="ED4:ED5" si="260">L4*N4</f>
        <v>444992.49637510243</v>
      </c>
      <c r="EE4" s="69">
        <f t="shared" ref="EE4:EE5" si="261">EG4+EH4+EI4+EJ4</f>
        <v>230445.15653620352</v>
      </c>
      <c r="EF4" s="70">
        <f t="shared" ref="EF4:EF5" si="262">EE4/ED4</f>
        <v>0.51786301659781664</v>
      </c>
      <c r="EG4" s="71">
        <f>R4*L4*'ER18'!$L$3</f>
        <v>114162.28571428571</v>
      </c>
      <c r="EH4" s="72">
        <f>(J4*2*L4)*'ER18'!$L$6</f>
        <v>82380</v>
      </c>
      <c r="EI4" s="73">
        <f t="shared" ref="EI4:EI5" si="263">H4*M4*L4</f>
        <v>28476</v>
      </c>
      <c r="EJ4" s="74">
        <f>SUM('ER18'!$L$129)/'ER18'!$L$8</f>
        <v>5426.8708219178088</v>
      </c>
      <c r="EK4" s="75">
        <f t="shared" ref="EK4:EK5" si="264">SUM(EM4:EN4)</f>
        <v>17639.699749452055</v>
      </c>
      <c r="EL4" s="76">
        <f t="shared" ref="EL4:EL5" si="265">EK4/ED4</f>
        <v>3.9640443138130643E-2</v>
      </c>
      <c r="EM4" s="75">
        <f>('ER18'!$L$132)/'ER18'!$L$8</f>
        <v>12589.390472739726</v>
      </c>
      <c r="EN4" s="75">
        <f>('ER18'!$L$133)/'ER18'!$L$8</f>
        <v>5050.3092767123289</v>
      </c>
      <c r="EO4" s="75">
        <f t="shared" ref="EO4:EO5" si="266">EQ4</f>
        <v>2328.8173972602735</v>
      </c>
      <c r="EP4" s="76">
        <f t="shared" ref="EP4:EP5" si="267">EO4/ED4</f>
        <v>5.2333857676944238E-3</v>
      </c>
      <c r="EQ4" s="75">
        <f>'ER18'!$L$136/'ER18'!$L$8</f>
        <v>2328.8173972602735</v>
      </c>
      <c r="ER4" s="75">
        <f t="shared" ref="ER4:ER5" si="268">SUM(ET4:EW4)</f>
        <v>93232.356881651373</v>
      </c>
      <c r="ES4" s="76">
        <f t="shared" ref="ES4:ES5" si="269">ER4/ED4</f>
        <v>0.20951444718982856</v>
      </c>
      <c r="ET4" s="65">
        <f>('ER18'!$L$139)/'ER18'!$L$5</f>
        <v>67357.519305555485</v>
      </c>
      <c r="EU4" s="75">
        <f>'ER18'!$L$140/'ER18'!$L$8</f>
        <v>12180.983698630138</v>
      </c>
      <c r="EV4" s="65">
        <f>('ER18'!$L$141)/'ER18'!$L$8</f>
        <v>11679.761095890412</v>
      </c>
      <c r="EW4" s="75">
        <f>('ER18'!$L$142)/'ER18'!$L$8</f>
        <v>2014.0927815753425</v>
      </c>
      <c r="EX4" s="75">
        <f t="shared" ref="EX4:EX5" si="270">SUM(EZ4:FA4)</f>
        <v>15433.327945205478</v>
      </c>
      <c r="EY4" s="76">
        <f t="shared" ref="EY4:EY5" si="271">EX4/ED4</f>
        <v>3.4682220646246792E-2</v>
      </c>
      <c r="EZ4" s="75">
        <f>('ER18'!$L$145)/'ER18'!$L$8</f>
        <v>10586.136164383561</v>
      </c>
      <c r="FA4" s="75">
        <f>('ER18'!$L$146)/'ER18'!$L$8</f>
        <v>4847.1917808219177</v>
      </c>
      <c r="FB4" s="75">
        <f t="shared" ref="FB4:FB5" si="272">SUM(FD4)</f>
        <v>16090.462916666667</v>
      </c>
      <c r="FC4" s="76">
        <f t="shared" ref="FC4:FC5" si="273">FB4/ED4</f>
        <v>3.6158953348065799E-2</v>
      </c>
      <c r="FD4" s="65">
        <f>'ER18'!$L$149/'ER18'!$L$5</f>
        <v>16090.462916666667</v>
      </c>
      <c r="FE4" s="77">
        <f t="shared" ref="FE4:FE5" si="274">ED4-EE4-EK4-EO4-ER4-EX4-FB4</f>
        <v>69822.674948663043</v>
      </c>
      <c r="FF4" s="70">
        <f t="shared" ref="FF4:FF5" si="275">FE4/ED4</f>
        <v>0.15690753331221713</v>
      </c>
      <c r="FG4" s="64" t="str">
        <f t="shared" ref="FG4:FG5" si="276">IF(FF4&gt;$AZ$1,"ACEPTABLE","REVISAR % U.O.")</f>
        <v>ACEPTABLE</v>
      </c>
      <c r="FK4" s="68">
        <f t="shared" ref="FK4:FK5" si="277">(+FO4+FU4+FY4+GB4+GH4+GL4)/L4</f>
        <v>62134.564154980333</v>
      </c>
      <c r="FL4" s="68">
        <f t="shared" ref="FL4:FL5" si="278">(GO4/L4)/H4</f>
        <v>5.3233857997950125</v>
      </c>
      <c r="FM4" s="59"/>
      <c r="FN4" s="67">
        <f t="shared" ref="FN4:FN5" si="279">+L4*N4</f>
        <v>444992.49637510243</v>
      </c>
      <c r="FO4" s="69">
        <f t="shared" ref="FO4:FO5" si="280">FQ4+FR4+FS4+FT4</f>
        <v>231568.72453781511</v>
      </c>
      <c r="FP4" s="70">
        <f t="shared" ref="FP4:FP5" si="281">FO4/FN4</f>
        <v>0.52038793108685666</v>
      </c>
      <c r="FQ4" s="71">
        <f>R4*L4*'ER18'!$AB$3</f>
        <v>114162.28571428571</v>
      </c>
      <c r="FR4" s="72">
        <f t="shared" ref="FR4:FR5" si="282">J4*2*L4</f>
        <v>82380</v>
      </c>
      <c r="FS4" s="73">
        <f t="shared" ref="FS4:FS5" si="283">H4*M4*L4</f>
        <v>28476</v>
      </c>
      <c r="FT4" s="74">
        <f>SUM('ER18'!$AF$19:$AF$20)/'ER18'!$AF$8*-1</f>
        <v>6550.4388235294118</v>
      </c>
      <c r="FU4" s="75">
        <f t="shared" ref="FU4:FU5" si="284">SUM(FW4:FX4)</f>
        <v>16465.531481617647</v>
      </c>
      <c r="FV4" s="76">
        <f t="shared" ref="FV4:FV5" si="285">FU4/FN4</f>
        <v>3.7001818268275193E-2</v>
      </c>
      <c r="FW4" s="75">
        <f>('ER18'!$AF$132)/'ER18'!$AF$8</f>
        <v>11693.041334573531</v>
      </c>
      <c r="FX4" s="75">
        <f>('ER18'!$AF$133)/'ER18'!$AF$8</f>
        <v>4772.4901470441182</v>
      </c>
      <c r="FY4" s="75">
        <f t="shared" ref="FY4:FY5" si="286">GA4</f>
        <v>2186.9889705882351</v>
      </c>
      <c r="FZ4" s="76">
        <f t="shared" ref="FZ4:FZ5" si="287">FY4/FN4</f>
        <v>4.9146648278417986E-3</v>
      </c>
      <c r="GA4" s="75">
        <f>'ER18'!$AF$136/'ER18'!$AF$8</f>
        <v>2186.9889705882351</v>
      </c>
      <c r="GB4" s="75">
        <f t="shared" ref="GB4:GB5" si="288">SUM(GD4:GG4)</f>
        <v>89288.626500318584</v>
      </c>
      <c r="GC4" s="76">
        <f t="shared" ref="GC4:GC5" si="289">GB4/FN4</f>
        <v>0.20065198228658115</v>
      </c>
      <c r="GD4" s="65">
        <f>('ER18'!$AF$139)/'ER18'!$AF$5</f>
        <v>67612.202083333294</v>
      </c>
      <c r="GE4" s="75">
        <f>'ER18'!$AF$140/'ER18'!$AF$8</f>
        <v>13132.153970588237</v>
      </c>
      <c r="GF4" s="65">
        <f>('ER18'!$AF$141)/'ER18'!$AF$8</f>
        <v>6349.2911764705877</v>
      </c>
      <c r="GG4" s="75">
        <f>('ER18'!$AF$142)/'ER18'!$AF$8</f>
        <v>2194.9792699264704</v>
      </c>
      <c r="GH4" s="75">
        <f t="shared" ref="GH4:GH5" si="290">SUM(GJ4:GK4)</f>
        <v>18383.139411764707</v>
      </c>
      <c r="GI4" s="76">
        <f t="shared" ref="GI4:GI5" si="291">GH4/FN4</f>
        <v>4.1311122235797894E-2</v>
      </c>
      <c r="GJ4" s="75">
        <f>('ER18'!$AF$145)/'ER18'!$AF$8</f>
        <v>14589.613235294119</v>
      </c>
      <c r="GK4" s="75">
        <f>('ER18'!$AF$146)/'ER18'!$AF$8</f>
        <v>3793.5261764705883</v>
      </c>
      <c r="GL4" s="75">
        <f t="shared" ref="GL4:GL5" si="292">SUM(GN4)</f>
        <v>14914.37402777778</v>
      </c>
      <c r="GM4" s="76">
        <f t="shared" ref="GM4:GM5" si="293">GL4/FN4</f>
        <v>3.3516012403062727E-2</v>
      </c>
      <c r="GN4" s="65">
        <f>'ER18'!$AF$149/'ER18'!$AF$5</f>
        <v>14914.37402777778</v>
      </c>
      <c r="GO4" s="77">
        <f t="shared" ref="GO4:GO5" si="294">FN4-FO4-FU4-FY4-GB4-GH4-GL4</f>
        <v>72185.111445220362</v>
      </c>
      <c r="GP4" s="70">
        <f t="shared" ref="GP4:GP5" si="295">GO4/FN4</f>
        <v>0.16221646889158456</v>
      </c>
      <c r="GQ4" s="64" t="str">
        <f t="shared" ref="GQ4:GQ5" si="296">IF(GP4&gt;$AZ$1,"ACEPTABLE","REVISAR % U.O.")</f>
        <v>ACEPTABLE</v>
      </c>
      <c r="GU4" s="68">
        <f t="shared" ref="GU4:GU5" si="297">(+GY4+HE4+HI4+HL4+HR4+HV4)/L4</f>
        <v>63375.480020864292</v>
      </c>
      <c r="GV4" s="68">
        <f t="shared" ref="GV4:GV5" si="298">(HY4/L4)/H4</f>
        <v>4.7743079830321973</v>
      </c>
      <c r="GW4" s="59"/>
      <c r="GX4" s="67">
        <f t="shared" ref="GX4:GX5" si="299">+L4*N4</f>
        <v>444992.49637510243</v>
      </c>
      <c r="GY4" s="69">
        <f t="shared" ref="GY4:GY5" si="300">HA4+HB4+HC4+HD4</f>
        <v>232401.64074534163</v>
      </c>
      <c r="GZ4" s="70">
        <f t="shared" ref="GZ4:GZ5" si="301">GY4/GX4</f>
        <v>0.52225968446317517</v>
      </c>
      <c r="HA4" s="71">
        <f>R4*L4*'ER18'!$AJ$3</f>
        <v>115647.42857142857</v>
      </c>
      <c r="HB4" s="72">
        <f t="shared" ref="HB4:HB5" si="302">J4*2*L4</f>
        <v>82380</v>
      </c>
      <c r="HC4" s="73">
        <f t="shared" ref="HC4:HC5" si="303">H4*M4*L4</f>
        <v>28476</v>
      </c>
      <c r="HD4" s="74">
        <f>SUM('ER18'!$AJ$19:$AJ$20)/'ER18'!$AJ$8*-1</f>
        <v>5898.2121739130434</v>
      </c>
      <c r="HE4" s="75">
        <f t="shared" ref="HE4:HE5" si="304">SUM(HG4:HH4)</f>
        <v>16762.153256869569</v>
      </c>
      <c r="HF4" s="76">
        <f t="shared" ref="HF4:HF5" si="305">HE4/GX4</f>
        <v>3.7668395295232263E-2</v>
      </c>
      <c r="HG4" s="75">
        <f>('ER18'!$AJ$132)/'ER18'!$AJ$8</f>
        <v>11860.747025000002</v>
      </c>
      <c r="HH4" s="75">
        <f>('ER18'!$AJ$133)/'ER18'!$AJ$8</f>
        <v>4901.4062318695651</v>
      </c>
      <c r="HI4" s="75">
        <f t="shared" ref="HI4:HI5" si="306">HK4</f>
        <v>2186.9889705882351</v>
      </c>
      <c r="HJ4" s="76">
        <f t="shared" ref="HJ4:HJ5" si="307">HI4/GX4</f>
        <v>4.9146648278417986E-3</v>
      </c>
      <c r="HK4" s="75">
        <f>'ER18'!$AF$136/'ER18'!$AF$8</f>
        <v>2186.9889705882351</v>
      </c>
      <c r="HL4" s="75">
        <f t="shared" ref="HL4:HL5" si="308">SUM(HN4:HQ4)</f>
        <v>97947.3812948985</v>
      </c>
      <c r="HM4" s="76">
        <f t="shared" ref="HM4:HM5" si="309">HL4/GX4</f>
        <v>0.22011018633521998</v>
      </c>
      <c r="HN4" s="65">
        <f>('ER18'!$AJ$139)/'ER18'!$AJ$5</f>
        <v>69924.344166666619</v>
      </c>
      <c r="HO4" s="75">
        <f>'ER18'!$AJ$140/'ER18'!$AJ$8</f>
        <v>13091.294202898551</v>
      </c>
      <c r="HP4" s="65">
        <f>('ER18'!$AJ$141)/'ER18'!$AJ$8</f>
        <v>12768.095507246377</v>
      </c>
      <c r="HQ4" s="75">
        <f>('ER18'!$AJ$142)/'ER18'!$AJ$8</f>
        <v>2163.6474180869568</v>
      </c>
      <c r="HR4" s="75">
        <f t="shared" ref="HR4:HR5" si="310">SUM(HT4:HU4)</f>
        <v>15734.750579710144</v>
      </c>
      <c r="HS4" s="76">
        <f t="shared" ref="HS4:HS5" si="311">HR4/GX4</f>
        <v>3.5359586302881559E-2</v>
      </c>
      <c r="HT4" s="75">
        <f>('ER18'!$AJ$145)/'ER18'!$AJ$8</f>
        <v>11654.263913043478</v>
      </c>
      <c r="HU4" s="75">
        <f>('ER18'!$AJ$146)/'ER18'!$AJ$8</f>
        <v>4080.4866666666667</v>
      </c>
      <c r="HV4" s="75">
        <f t="shared" ref="HV4:HV5" si="312">SUM(HX4)</f>
        <v>15219.965277777777</v>
      </c>
      <c r="HW4" s="76">
        <f t="shared" ref="HW4:HW5" si="313">HV4/GX4</f>
        <v>3.4202745892929043E-2</v>
      </c>
      <c r="HX4" s="65">
        <f>'ER18'!$AJ$149/'ER18'!$AJ$5</f>
        <v>15219.965277777777</v>
      </c>
      <c r="HY4" s="77">
        <f t="shared" ref="HY4:HY5" si="314">GX4-GY4-HE4-HI4-HL4-HR4-HV4</f>
        <v>64739.616249916595</v>
      </c>
      <c r="HZ4" s="70">
        <f t="shared" ref="HZ4:HZ5" si="315">HY4/GX4</f>
        <v>0.14548473688272018</v>
      </c>
      <c r="IA4" s="64" t="str">
        <f t="shared" ref="IA4:IA5" si="316">IF(HZ4&gt;$AZ$1,"ACEPTABLE","REVISAR % U.O.")</f>
        <v>ACEPTABLE</v>
      </c>
      <c r="IE4" s="68" t="e">
        <f t="shared" ref="IE4:IE5" si="317">(+II4+IO4+IS4+IV4+JB4+JF4)/L4</f>
        <v>#DIV/0!</v>
      </c>
      <c r="IF4" s="68" t="e">
        <f t="shared" ref="IF4:IF5" si="318">(JI4/L4)/H4</f>
        <v>#DIV/0!</v>
      </c>
      <c r="IG4" s="59"/>
      <c r="IH4" s="67">
        <f t="shared" ref="IH4:IH5" si="319">+L4*N4</f>
        <v>444992.49637510243</v>
      </c>
      <c r="II4" s="69" t="e">
        <f t="shared" ref="II4:II5" si="320">IK4+IL4+IM4+IN4</f>
        <v>#DIV/0!</v>
      </c>
      <c r="IJ4" s="70" t="e">
        <f t="shared" ref="IJ4:IJ5" si="321">II4/IH4</f>
        <v>#DIV/0!</v>
      </c>
      <c r="IK4" s="71">
        <f>R4*L4*'ER18'!$AN$3</f>
        <v>0</v>
      </c>
      <c r="IL4" s="72">
        <f t="shared" ref="IL4:IL5" si="322">J4*2*L4</f>
        <v>82380</v>
      </c>
      <c r="IM4" s="73">
        <f t="shared" ref="IM4:IM5" si="323">H4*M4*L4</f>
        <v>28476</v>
      </c>
      <c r="IN4" s="74" t="e">
        <f>SUM('ER18'!$AN$19:$AN$20)/'ER18'!$AN$8*-1</f>
        <v>#DIV/0!</v>
      </c>
      <c r="IO4" s="75" t="e">
        <f t="shared" ref="IO4:IO5" si="324">SUM(IQ4:IR4)</f>
        <v>#DIV/0!</v>
      </c>
      <c r="IP4" s="76" t="e">
        <f t="shared" ref="IP4:IP5" si="325">IO4/IH4</f>
        <v>#DIV/0!</v>
      </c>
      <c r="IQ4" s="75" t="e">
        <f>('ER18'!$AN$132)/'ER18'!$AN$8</f>
        <v>#DIV/0!</v>
      </c>
      <c r="IR4" s="75" t="e">
        <f>('ER18'!$AN$133)/'ER18'!$AN$8</f>
        <v>#DIV/0!</v>
      </c>
      <c r="IS4" s="75" t="e">
        <f t="shared" ref="IS4:IS5" si="326">IU4</f>
        <v>#DIV/0!</v>
      </c>
      <c r="IT4" s="76" t="e">
        <f t="shared" ref="IT4:IT5" si="327">IS4/IH4</f>
        <v>#DIV/0!</v>
      </c>
      <c r="IU4" s="75" t="e">
        <f>'ER18'!$AN$136/'ER18'!$AN$8</f>
        <v>#DIV/0!</v>
      </c>
      <c r="IV4" s="75" t="e">
        <f t="shared" ref="IV4:IV5" si="328">SUM(IX4:JA4)</f>
        <v>#DIV/0!</v>
      </c>
      <c r="IW4" s="76" t="e">
        <f t="shared" ref="IW4:IW5" si="329">IV4/IH4</f>
        <v>#DIV/0!</v>
      </c>
      <c r="IX4" s="65" t="e">
        <f>('ER18'!$AN$139)/'ER18'!$AN$5</f>
        <v>#DIV/0!</v>
      </c>
      <c r="IY4" s="75" t="e">
        <f>'ER18'!$AN$140/'ER18'!$AN$8</f>
        <v>#DIV/0!</v>
      </c>
      <c r="IZ4" s="65" t="e">
        <f>('ER18'!$AN$141)/'ER18'!$AN$8</f>
        <v>#DIV/0!</v>
      </c>
      <c r="JA4" s="75" t="e">
        <f>('ER18'!$AN$142)/'ER18'!$AN$8</f>
        <v>#DIV/0!</v>
      </c>
      <c r="JB4" s="75" t="e">
        <f t="shared" ref="JB4:JB5" si="330">SUM(JD4:JE4)</f>
        <v>#DIV/0!</v>
      </c>
      <c r="JC4" s="76" t="e">
        <f t="shared" ref="JC4:JC5" si="331">JB4/IH4</f>
        <v>#DIV/0!</v>
      </c>
      <c r="JD4" s="75" t="e">
        <f>('ER18'!$AN$145)/'ER18'!$AN$8</f>
        <v>#DIV/0!</v>
      </c>
      <c r="JE4" s="75" t="e">
        <f>('ER18'!$AN$146)/'ER18'!$AN$8</f>
        <v>#DIV/0!</v>
      </c>
      <c r="JF4" s="75" t="e">
        <f t="shared" ref="JF4:JF5" si="332">SUM(JH4)</f>
        <v>#DIV/0!</v>
      </c>
      <c r="JG4" s="76" t="e">
        <f t="shared" ref="JG4:JG5" si="333">JF4/IH4</f>
        <v>#DIV/0!</v>
      </c>
      <c r="JH4" s="65" t="e">
        <f>'ER18'!$AN$149/'ER18'!$AN$5</f>
        <v>#DIV/0!</v>
      </c>
      <c r="JI4" s="77" t="e">
        <f t="shared" ref="JI4:JI5" si="334">IH4-II4-IO4-IS4-IV4-JB4-JF4</f>
        <v>#DIV/0!</v>
      </c>
      <c r="JJ4" s="70" t="e">
        <f t="shared" ref="JJ4:JJ5" si="335">JI4/IH4</f>
        <v>#DIV/0!</v>
      </c>
      <c r="JK4" s="64" t="e">
        <f t="shared" ref="JK4:JK5" si="336">IF(JJ4&gt;$AZ$1,"ACEPTABLE","REVISAR % U.O.")</f>
        <v>#DIV/0!</v>
      </c>
      <c r="JO4" s="68" t="e">
        <f t="shared" ref="JO4:JO5" si="337">(+JS4+JY4+KC4+KF4+KL4+KP4)/L4</f>
        <v>#DIV/0!</v>
      </c>
      <c r="JP4" s="68" t="e">
        <f t="shared" ref="JP4:JP5" si="338">(KS4/L4)/H4</f>
        <v>#DIV/0!</v>
      </c>
      <c r="JQ4" s="59"/>
      <c r="JR4" s="67">
        <f t="shared" ref="JR4:JR5" si="339">+L4*N4</f>
        <v>444992.49637510243</v>
      </c>
      <c r="JS4" s="69" t="e">
        <f t="shared" ref="JS4:JS5" si="340">JU4+JV4+JW4+JX4</f>
        <v>#DIV/0!</v>
      </c>
      <c r="JT4" s="70" t="e">
        <f t="shared" ref="JT4:JT5" si="341">JS4/JR4</f>
        <v>#DIV/0!</v>
      </c>
      <c r="JU4" s="71">
        <f>R4*L4*'ER18'!$AN$3</f>
        <v>0</v>
      </c>
      <c r="JV4" s="72">
        <f t="shared" ref="JV4:JV5" si="342">J4*2*L4</f>
        <v>82380</v>
      </c>
      <c r="JW4" s="73">
        <f t="shared" ref="JW4:JW5" si="343">H4*M4*L4</f>
        <v>28476</v>
      </c>
      <c r="JX4" s="74" t="e">
        <f>SUM('ER18'!$AR$19:$AR$20)/'ER18'!$AR$8*-1</f>
        <v>#DIV/0!</v>
      </c>
      <c r="JY4" s="75" t="e">
        <f t="shared" ref="JY4:JY5" si="344">SUM(KA4:KB4)</f>
        <v>#DIV/0!</v>
      </c>
      <c r="JZ4" s="76" t="e">
        <f t="shared" ref="JZ4:JZ5" si="345">JY4/JR4</f>
        <v>#DIV/0!</v>
      </c>
      <c r="KA4" s="75" t="e">
        <f>('ER18'!$AR$132)/'ER18'!$AR$8</f>
        <v>#DIV/0!</v>
      </c>
      <c r="KB4" s="75" t="e">
        <f>('ER18'!$AR$133)/'ER18'!$AR$8</f>
        <v>#DIV/0!</v>
      </c>
      <c r="KC4" s="75" t="e">
        <f t="shared" ref="KC4:KC5" si="346">KE4</f>
        <v>#DIV/0!</v>
      </c>
      <c r="KD4" s="76" t="e">
        <f t="shared" ref="KD4:KD5" si="347">KC4/JR4</f>
        <v>#DIV/0!</v>
      </c>
      <c r="KE4" s="75" t="e">
        <f>'ER18'!$AR$136/'ER18'!$AR$8</f>
        <v>#DIV/0!</v>
      </c>
      <c r="KF4" s="75" t="e">
        <f t="shared" ref="KF4:KF5" si="348">SUM(KH4:KK4)</f>
        <v>#DIV/0!</v>
      </c>
      <c r="KG4" s="76" t="e">
        <f t="shared" ref="KG4:KG5" si="349">KF4/JR4</f>
        <v>#DIV/0!</v>
      </c>
      <c r="KH4" s="65" t="e">
        <f>('ER18'!$AR$139)/'ER18'!$AR$5</f>
        <v>#DIV/0!</v>
      </c>
      <c r="KI4" s="75" t="e">
        <f>'ER18'!$AR$140/'ER18'!$AR$8</f>
        <v>#DIV/0!</v>
      </c>
      <c r="KJ4" s="65" t="e">
        <f>('ER18'!$AR$141)/'ER18'!$AR$8</f>
        <v>#DIV/0!</v>
      </c>
      <c r="KK4" s="75" t="e">
        <f>('ER18'!$AR$142)/'ER18'!$AR$8</f>
        <v>#DIV/0!</v>
      </c>
      <c r="KL4" s="75" t="e">
        <f t="shared" ref="KL4:KL5" si="350">SUM(KN4:KO4)</f>
        <v>#DIV/0!</v>
      </c>
      <c r="KM4" s="76" t="e">
        <f t="shared" ref="KM4:KM5" si="351">KL4/JR4</f>
        <v>#DIV/0!</v>
      </c>
      <c r="KN4" s="75" t="e">
        <f>('ER18'!$AR$145)/'ER18'!$AR$8</f>
        <v>#DIV/0!</v>
      </c>
      <c r="KO4" s="75" t="e">
        <f>('ER18'!$AR$146)/'ER18'!$AR$8</f>
        <v>#DIV/0!</v>
      </c>
      <c r="KP4" s="75" t="e">
        <f t="shared" ref="KP4:KP5" si="352">SUM(KR4)</f>
        <v>#DIV/0!</v>
      </c>
      <c r="KQ4" s="76" t="e">
        <f t="shared" ref="KQ4:KQ5" si="353">KP4/JR4</f>
        <v>#DIV/0!</v>
      </c>
      <c r="KR4" s="65" t="e">
        <f>'ER18'!$AR$149/'ER18'!$AR$5</f>
        <v>#DIV/0!</v>
      </c>
      <c r="KS4" s="77" t="e">
        <f t="shared" ref="KS4:KS5" si="354">JR4-JS4-JY4-KC4-KF4-KL4-KP4</f>
        <v>#DIV/0!</v>
      </c>
      <c r="KT4" s="70" t="e">
        <f t="shared" ref="KT4:KT5" si="355">KS4/JR4</f>
        <v>#DIV/0!</v>
      </c>
      <c r="KU4" s="64" t="e">
        <f t="shared" ref="KU4:KU5" si="356">IF(KT4&gt;$AZ$1,"ACEPTABLE","REVISAR % U.O.")</f>
        <v>#DIV/0!</v>
      </c>
      <c r="KY4" s="68" t="e">
        <f t="shared" ref="KY4:KY5" si="357">(+LC4+LI4+LM4+LP4+LV4+LZ4)/L4</f>
        <v>#DIV/0!</v>
      </c>
      <c r="KZ4" s="68" t="e">
        <f t="shared" ref="KZ4:KZ5" si="358">(MC4/L4)/H4</f>
        <v>#DIV/0!</v>
      </c>
      <c r="LA4" s="59"/>
      <c r="LB4" s="67">
        <f t="shared" ref="LB4:LB5" si="359">+L4*N4</f>
        <v>444992.49637510243</v>
      </c>
      <c r="LC4" s="69" t="e">
        <f t="shared" ref="LC4:LC5" si="360">LE4+LF4+LG4+LH4</f>
        <v>#DIV/0!</v>
      </c>
      <c r="LD4" s="70" t="e">
        <f t="shared" ref="LD4:LD5" si="361">LC4/LB4</f>
        <v>#DIV/0!</v>
      </c>
      <c r="LE4" s="71">
        <f>R4*L4*'ER18'!$AN$3</f>
        <v>0</v>
      </c>
      <c r="LF4" s="72">
        <f t="shared" ref="LF4:LF5" si="362">J4*2*L4</f>
        <v>82380</v>
      </c>
      <c r="LG4" s="73">
        <f t="shared" ref="LG4:LG5" si="363">H4*M4*L4</f>
        <v>28476</v>
      </c>
      <c r="LH4" s="74" t="e">
        <f>SUM('ER18'!$AV$19:$AV$20)/'ER18'!$AV$8*-1</f>
        <v>#DIV/0!</v>
      </c>
      <c r="LI4" s="75" t="e">
        <f t="shared" ref="LI4:LI5" si="364">SUM(LK4:LL4)</f>
        <v>#DIV/0!</v>
      </c>
      <c r="LJ4" s="76" t="e">
        <f t="shared" ref="LJ4:LJ5" si="365">LI4/LB4</f>
        <v>#DIV/0!</v>
      </c>
      <c r="LK4" s="75" t="e">
        <f>('ER18'!$AV$132)/'ER18'!$AV$8</f>
        <v>#DIV/0!</v>
      </c>
      <c r="LL4" s="75" t="e">
        <f>('ER18'!$AV$133)/'ER18'!$AV$8</f>
        <v>#DIV/0!</v>
      </c>
      <c r="LM4" s="75" t="e">
        <f t="shared" ref="LM4:LM5" si="366">LO4</f>
        <v>#DIV/0!</v>
      </c>
      <c r="LN4" s="76" t="e">
        <f t="shared" ref="LN4:LN5" si="367">LM4/LB4</f>
        <v>#DIV/0!</v>
      </c>
      <c r="LO4" s="75" t="e">
        <f>'ER18'!$AV$136/'ER18'!$AV$8</f>
        <v>#DIV/0!</v>
      </c>
      <c r="LP4" s="75" t="e">
        <f t="shared" ref="LP4:LP5" si="368">SUM(LR4:LU4)</f>
        <v>#DIV/0!</v>
      </c>
      <c r="LQ4" s="76" t="e">
        <f t="shared" ref="LQ4:LQ5" si="369">LP4/LB4</f>
        <v>#DIV/0!</v>
      </c>
      <c r="LR4" s="65" t="e">
        <f>('ER18'!$AV$139)/'ER18'!$AV$5</f>
        <v>#DIV/0!</v>
      </c>
      <c r="LS4" s="75" t="e">
        <f>'ER18'!$AV$140/'ER18'!$AV$8</f>
        <v>#DIV/0!</v>
      </c>
      <c r="LT4" s="65" t="e">
        <f>('ER18'!$AV$141)/'ER18'!$AV$8</f>
        <v>#DIV/0!</v>
      </c>
      <c r="LU4" s="75" t="e">
        <f>('ER18'!$AV$142)/'ER18'!$AV$8</f>
        <v>#DIV/0!</v>
      </c>
      <c r="LV4" s="75" t="e">
        <f t="shared" ref="LV4:LV5" si="370">SUM(LX4:LY4)</f>
        <v>#DIV/0!</v>
      </c>
      <c r="LW4" s="76" t="e">
        <f t="shared" ref="LW4:LW5" si="371">LV4/LB4</f>
        <v>#DIV/0!</v>
      </c>
      <c r="LX4" s="75" t="e">
        <f>('ER18'!$AV$145)/'ER18'!$AV$8</f>
        <v>#DIV/0!</v>
      </c>
      <c r="LY4" s="75" t="e">
        <f>('ER18'!$AV$146)/'ER18'!$AV$8</f>
        <v>#DIV/0!</v>
      </c>
      <c r="LZ4" s="75" t="e">
        <f t="shared" ref="LZ4:LZ5" si="372">SUM(MB4)</f>
        <v>#DIV/0!</v>
      </c>
      <c r="MA4" s="76" t="e">
        <f t="shared" ref="MA4:MA5" si="373">LZ4/LB4</f>
        <v>#DIV/0!</v>
      </c>
      <c r="MB4" s="65" t="e">
        <f>'ER18'!$AV$149/'ER18'!$AV$5</f>
        <v>#DIV/0!</v>
      </c>
      <c r="MC4" s="77" t="e">
        <f t="shared" ref="MC4:MC5" si="374">LB4-LC4-LI4-LM4-LP4-LV4-LZ4</f>
        <v>#DIV/0!</v>
      </c>
      <c r="MD4" s="70" t="e">
        <f t="shared" ref="MD4:MD5" si="375">MC4/LB4</f>
        <v>#DIV/0!</v>
      </c>
      <c r="ME4" s="64" t="e">
        <f t="shared" ref="ME4:ME5" si="376">IF(MD4&gt;$AZ$1,"ACEPTABLE","REVISAR % U.O.")</f>
        <v>#DIV/0!</v>
      </c>
    </row>
    <row r="5" spans="1:343" s="64" customFormat="1" ht="11.25" x14ac:dyDescent="0.2">
      <c r="A5" s="64">
        <v>442</v>
      </c>
      <c r="B5" s="84">
        <v>43601</v>
      </c>
      <c r="C5" s="143" t="s">
        <v>187</v>
      </c>
      <c r="D5" s="143" t="s">
        <v>182</v>
      </c>
      <c r="E5" s="143" t="s">
        <v>193</v>
      </c>
      <c r="F5" s="65" t="s">
        <v>129</v>
      </c>
      <c r="G5" s="139">
        <f t="shared" ref="G5" si="377">H5*18</f>
        <v>26892</v>
      </c>
      <c r="H5" s="118">
        <f t="shared" si="193"/>
        <v>1494</v>
      </c>
      <c r="I5" s="78">
        <v>747</v>
      </c>
      <c r="J5" s="66">
        <v>4469</v>
      </c>
      <c r="K5" s="81">
        <v>1.7</v>
      </c>
      <c r="L5" s="83">
        <f t="shared" ref="L5" si="378">BA5</f>
        <v>10.379469181838122</v>
      </c>
      <c r="M5" s="80">
        <v>2.1</v>
      </c>
      <c r="N5" s="67">
        <f t="shared" si="195"/>
        <v>26892</v>
      </c>
      <c r="O5" s="68">
        <f t="shared" si="196"/>
        <v>45410.296741150843</v>
      </c>
      <c r="P5" s="68">
        <f t="shared" si="197"/>
        <v>-18518.296741150843</v>
      </c>
      <c r="Q5" s="141">
        <f t="shared" si="198"/>
        <v>15506.926957666154</v>
      </c>
      <c r="R5" s="141">
        <f t="shared" si="199"/>
        <v>878.82352941176475</v>
      </c>
      <c r="S5" s="141">
        <f t="shared" si="200"/>
        <v>18</v>
      </c>
      <c r="T5" s="141">
        <f t="shared" si="201"/>
        <v>30.395111607196014</v>
      </c>
      <c r="U5" s="141">
        <f t="shared" si="202"/>
        <v>-12.395111607196011</v>
      </c>
      <c r="V5" s="59"/>
      <c r="W5" s="127">
        <f t="shared" si="203"/>
        <v>279124.68523799075</v>
      </c>
      <c r="X5" s="126">
        <f t="shared" si="204"/>
        <v>330354.41529560141</v>
      </c>
      <c r="Y5" s="70">
        <f t="shared" si="205"/>
        <v>1.1835370813367172</v>
      </c>
      <c r="Z5" s="72">
        <f>R5*L5*'ER18'!$BD$3</f>
        <v>191556.15653587604</v>
      </c>
      <c r="AA5" s="72">
        <f>IF(BB5="TWO WAY",(J5*2*L5)*'ER18'!$BD$6,(J5*1*L5)*'ER18'!$BD$6)</f>
        <v>100193.43119105067</v>
      </c>
      <c r="AB5" s="72">
        <f t="shared" si="206"/>
        <v>32564.546611098925</v>
      </c>
      <c r="AC5" s="74">
        <f>'ER18'!$BD$129/'ER18'!$BD$8</f>
        <v>6040.2809575757583</v>
      </c>
      <c r="AD5" s="126">
        <f t="shared" si="207"/>
        <v>16277.567324506665</v>
      </c>
      <c r="AE5" s="76">
        <f t="shared" si="208"/>
        <v>5.8316473552412186E-2</v>
      </c>
      <c r="AF5" s="72">
        <f>'ER18'!$BD$132/'ER18'!$BD$8</f>
        <v>11764.15967760121</v>
      </c>
      <c r="AG5" s="72">
        <f>'ER18'!$BD$133/'ER18'!$BD$8</f>
        <v>4513.4076469054553</v>
      </c>
      <c r="AH5" s="126">
        <f t="shared" si="209"/>
        <v>3143.4067515151514</v>
      </c>
      <c r="AI5" s="76">
        <f t="shared" si="210"/>
        <v>1.1261658025104376E-2</v>
      </c>
      <c r="AJ5" s="75">
        <f>'ER18'!$BD$136/'ER18'!$BD$8</f>
        <v>3143.4067515151514</v>
      </c>
      <c r="AK5" s="126">
        <f t="shared" si="211"/>
        <v>89021.581233022764</v>
      </c>
      <c r="AL5" s="76">
        <f t="shared" si="212"/>
        <v>0.31893123733259232</v>
      </c>
      <c r="AM5" s="65">
        <f>'ER18'!$BD$139/'ER18'!$BD$5</f>
        <v>65524.036435185197</v>
      </c>
      <c r="AN5" s="75">
        <f>'ER18'!$BD$140/'ER18'!$BD$8</f>
        <v>13161.451340606063</v>
      </c>
      <c r="AO5" s="65">
        <f>'ER18'!$BD$141/'ER18'!$BD$8</f>
        <v>8564.4664969696969</v>
      </c>
      <c r="AP5" s="75">
        <f>'ER18'!$BD$142/'ER18'!$BD$8</f>
        <v>1771.6269602618183</v>
      </c>
      <c r="AQ5" s="126">
        <f t="shared" si="213"/>
        <v>16591.309865660605</v>
      </c>
      <c r="AR5" s="76">
        <f t="shared" si="214"/>
        <v>5.9440496463128357E-2</v>
      </c>
      <c r="AS5" s="75">
        <f>('ER18'!$BD$145)/'ER18'!$BD$8</f>
        <v>12141.341139393939</v>
      </c>
      <c r="AT5" s="75">
        <f>'ER18'!$BD$146/'ER18'!$BD$8</f>
        <v>4449.9687262666666</v>
      </c>
      <c r="AU5" s="126">
        <f t="shared" si="215"/>
        <v>15946.495092592593</v>
      </c>
      <c r="AV5" s="76">
        <f t="shared" si="216"/>
        <v>5.7130364800935092E-2</v>
      </c>
      <c r="AW5" s="65">
        <f>'ER18'!$BD$149/'ER18'!$BD$5</f>
        <v>15946.495092592593</v>
      </c>
      <c r="AX5" s="77">
        <f t="shared" si="217"/>
        <v>-192210.09032490847</v>
      </c>
      <c r="AY5" s="70">
        <f t="shared" si="218"/>
        <v>-0.68861731151088956</v>
      </c>
      <c r="AZ5" s="64" t="str">
        <f t="shared" si="219"/>
        <v>REVISAR % U.O.</v>
      </c>
      <c r="BA5" s="74">
        <f t="shared" si="220"/>
        <v>10.379469181838122</v>
      </c>
      <c r="BB5" s="64" t="s">
        <v>186</v>
      </c>
      <c r="BD5" s="85">
        <v>0.10100000000000001</v>
      </c>
      <c r="BG5" s="68">
        <f t="shared" si="221"/>
        <v>41320.553673668917</v>
      </c>
      <c r="BH5" s="68">
        <f t="shared" si="222"/>
        <v>-9.6576664482388974</v>
      </c>
      <c r="BI5" s="59"/>
      <c r="BJ5" s="67">
        <f t="shared" si="223"/>
        <v>279124.68523799075</v>
      </c>
      <c r="BK5" s="69">
        <f t="shared" si="224"/>
        <v>293101.78505777864</v>
      </c>
      <c r="BL5" s="70">
        <f t="shared" si="225"/>
        <v>1.0500747535384432</v>
      </c>
      <c r="BM5" s="71">
        <f>R5*L5*'ER18'!$D$3</f>
        <v>161272.04035972801</v>
      </c>
      <c r="BN5" s="72">
        <f>(J5*2*L5)*'ER18'!$D$6</f>
        <v>92771.695547269133</v>
      </c>
      <c r="BO5" s="73">
        <f t="shared" si="226"/>
        <v>32564.546611098925</v>
      </c>
      <c r="BP5" s="74">
        <f>SUM('ER18'!$D$129)/'ER18'!$D$8</f>
        <v>6493.5025396825395</v>
      </c>
      <c r="BQ5" s="75">
        <f t="shared" si="227"/>
        <v>17881.94554122222</v>
      </c>
      <c r="BR5" s="76">
        <f t="shared" si="228"/>
        <v>6.4064364375280861E-2</v>
      </c>
      <c r="BS5" s="75">
        <f>('ER18'!$D$132)/'ER18'!$D$8</f>
        <v>13867.649826936507</v>
      </c>
      <c r="BT5" s="75">
        <f>('ER18'!$D$133)/'ER18'!$D$8</f>
        <v>4014.2957142857135</v>
      </c>
      <c r="BU5" s="75">
        <f t="shared" si="229"/>
        <v>4932.3322222222223</v>
      </c>
      <c r="BV5" s="76">
        <f t="shared" si="230"/>
        <v>1.7670713065083284E-2</v>
      </c>
      <c r="BW5" s="75">
        <f>'ER18'!$D$136/'ER18'!$D$8</f>
        <v>4932.3322222222223</v>
      </c>
      <c r="BX5" s="75">
        <f t="shared" si="231"/>
        <v>81019.172634920877</v>
      </c>
      <c r="BY5" s="76">
        <f t="shared" si="232"/>
        <v>0.29026158172230915</v>
      </c>
      <c r="BZ5" s="65">
        <f>('ER18'!$D$139)/'ER18'!$D$5</f>
        <v>56411.991111111354</v>
      </c>
      <c r="CA5" s="75">
        <f>'ER18'!$D$140/'ER18'!$D$8</f>
        <v>10217.731523809523</v>
      </c>
      <c r="CB5" s="65">
        <f>('ER18'!$D$141)/'ER18'!$D$8</f>
        <v>12246.49857142857</v>
      </c>
      <c r="CC5" s="75">
        <f>('ER18'!$D$142)/'ER18'!$D$8</f>
        <v>2142.9514285714286</v>
      </c>
      <c r="CD5" s="75">
        <f t="shared" si="233"/>
        <v>15157.73714285714</v>
      </c>
      <c r="CE5" s="76">
        <f t="shared" si="234"/>
        <v>5.4304538238648302E-2</v>
      </c>
      <c r="CF5" s="75">
        <f>('ER18'!$D$145)/'ER18'!$D$8</f>
        <v>11368.493968253966</v>
      </c>
      <c r="CG5" s="75">
        <f>('ER18'!$D$146)/'ER18'!$D$8</f>
        <v>3789.2431746031748</v>
      </c>
      <c r="CH5" s="75">
        <f t="shared" si="235"/>
        <v>16792.44083333333</v>
      </c>
      <c r="CI5" s="76">
        <f t="shared" si="236"/>
        <v>6.0161073962396235E-2</v>
      </c>
      <c r="CJ5" s="65">
        <f>'ER18'!$D$149/'ER18'!$D$5</f>
        <v>16792.44083333333</v>
      </c>
      <c r="CK5" s="77">
        <f t="shared" si="237"/>
        <v>-149760.72819434368</v>
      </c>
      <c r="CL5" s="70">
        <f t="shared" si="238"/>
        <v>-0.53653702490216093</v>
      </c>
      <c r="CM5" s="64" t="str">
        <f t="shared" si="239"/>
        <v>REVISAR % U.O.</v>
      </c>
      <c r="CQ5" s="68">
        <f t="shared" si="240"/>
        <v>42284.947610818199</v>
      </c>
      <c r="CR5" s="68" t="e">
        <f>(DU5/#REF!)/H5</f>
        <v>#REF!</v>
      </c>
      <c r="CS5" s="59"/>
      <c r="CT5" s="67">
        <f t="shared" si="241"/>
        <v>279124.68523799075</v>
      </c>
      <c r="CU5" s="69">
        <f t="shared" si="242"/>
        <v>292711.51619456668</v>
      </c>
      <c r="CV5" s="70">
        <f t="shared" si="243"/>
        <v>1.0486765652596843</v>
      </c>
      <c r="CW5" s="71">
        <f>R5*L5*'ER18'!$H$3</f>
        <v>161272.04035972801</v>
      </c>
      <c r="CX5" s="72">
        <f>(J5*2*L5)*'ER18'!$D$6</f>
        <v>92771.695547269133</v>
      </c>
      <c r="CY5" s="73">
        <f t="shared" si="244"/>
        <v>32564.546611098925</v>
      </c>
      <c r="CZ5" s="74">
        <f>SUM('ER18'!$H$129)/'ER18'!$H$8</f>
        <v>6103.2336764705869</v>
      </c>
      <c r="DA5" s="75">
        <f t="shared" si="245"/>
        <v>15890.227561588235</v>
      </c>
      <c r="DB5" s="76">
        <f t="shared" si="246"/>
        <v>5.6928779151294746E-2</v>
      </c>
      <c r="DC5" s="75">
        <f>('ER18'!$H$132)/'ER18'!$H$8</f>
        <v>10468.572014529411</v>
      </c>
      <c r="DD5" s="75">
        <f>('ER18'!$H$133)/'ER18'!$H$8</f>
        <v>5421.6555470588237</v>
      </c>
      <c r="DE5" s="75">
        <f t="shared" si="247"/>
        <v>2500.0539705882352</v>
      </c>
      <c r="DF5" s="76">
        <f t="shared" si="248"/>
        <v>8.9567641373481822E-3</v>
      </c>
      <c r="DG5" s="75">
        <f>'ER18'!$H$136/'ER18'!$H$8</f>
        <v>2500.0539705882352</v>
      </c>
      <c r="DH5" s="75">
        <f t="shared" si="249"/>
        <v>95134.918468129006</v>
      </c>
      <c r="DI5" s="76">
        <f t="shared" si="250"/>
        <v>0.34083305239382139</v>
      </c>
      <c r="DJ5" s="65">
        <f>('ER18'!$H$139)/'ER18'!$H$5</f>
        <v>67357.519305555485</v>
      </c>
      <c r="DK5" s="75">
        <f>'ER18'!$H$140/'ER18'!$H$8</f>
        <v>13076.644264705883</v>
      </c>
      <c r="DL5" s="65">
        <f>('ER18'!$H$141)/'ER18'!$H$8</f>
        <v>12538.56705882353</v>
      </c>
      <c r="DM5" s="75">
        <f>('ER18'!$H$142)/'ER18'!$H$8</f>
        <v>2162.1878390441175</v>
      </c>
      <c r="DN5" s="75">
        <f t="shared" si="251"/>
        <v>16568.131470588232</v>
      </c>
      <c r="DO5" s="76">
        <f t="shared" si="252"/>
        <v>5.935745688870802E-2</v>
      </c>
      <c r="DP5" s="75">
        <f>('ER18'!$H$145)/'ER18'!$H$8</f>
        <v>11364.528529411764</v>
      </c>
      <c r="DQ5" s="75">
        <f>('ER18'!$H$146)/'ER18'!$H$8</f>
        <v>5203.6029411764703</v>
      </c>
      <c r="DR5" s="75">
        <f t="shared" si="253"/>
        <v>16090.462916666667</v>
      </c>
      <c r="DS5" s="76">
        <f t="shared" si="254"/>
        <v>5.7646148003525438E-2</v>
      </c>
      <c r="DT5" s="65">
        <f>'ER18'!$H$149/'ER18'!$H$5</f>
        <v>16090.462916666667</v>
      </c>
      <c r="DU5" s="77">
        <f t="shared" si="255"/>
        <v>-159770.62534413632</v>
      </c>
      <c r="DV5" s="70">
        <f t="shared" si="256"/>
        <v>-0.57239876583438221</v>
      </c>
      <c r="DW5" s="64" t="str">
        <f t="shared" si="257"/>
        <v>REVISAR % U.O.</v>
      </c>
      <c r="EA5" s="68">
        <f t="shared" si="258"/>
        <v>42079.205649021744</v>
      </c>
      <c r="EB5" s="68">
        <f t="shared" si="259"/>
        <v>-10.16546562852861</v>
      </c>
      <c r="EC5" s="59"/>
      <c r="ED5" s="67">
        <f t="shared" si="260"/>
        <v>279124.68523799075</v>
      </c>
      <c r="EE5" s="69">
        <f t="shared" si="261"/>
        <v>292035.15334001393</v>
      </c>
      <c r="EF5" s="70">
        <f t="shared" si="262"/>
        <v>1.0462534085475648</v>
      </c>
      <c r="EG5" s="71">
        <f>R5*L5*'ER18'!$L$3</f>
        <v>161272.04035972801</v>
      </c>
      <c r="EH5" s="72">
        <f>(J5*2*L5)*'ER18'!$L$6</f>
        <v>92771.695547269133</v>
      </c>
      <c r="EI5" s="73">
        <f t="shared" si="263"/>
        <v>32564.546611098925</v>
      </c>
      <c r="EJ5" s="74">
        <f>SUM('ER18'!$L$129)/'ER18'!$L$8</f>
        <v>5426.8708219178088</v>
      </c>
      <c r="EK5" s="75">
        <f t="shared" si="264"/>
        <v>17639.699749452055</v>
      </c>
      <c r="EL5" s="76">
        <f t="shared" si="265"/>
        <v>6.3196487743145596E-2</v>
      </c>
      <c r="EM5" s="75">
        <f>('ER18'!$L$132)/'ER18'!$L$8</f>
        <v>12589.390472739726</v>
      </c>
      <c r="EN5" s="75">
        <f>('ER18'!$L$133)/'ER18'!$L$8</f>
        <v>5050.3092767123289</v>
      </c>
      <c r="EO5" s="75">
        <f t="shared" si="266"/>
        <v>2328.8173972602735</v>
      </c>
      <c r="EP5" s="76">
        <f t="shared" si="267"/>
        <v>8.3432871416394012E-3</v>
      </c>
      <c r="EQ5" s="75">
        <f>'ER18'!$L$136/'ER18'!$L$8</f>
        <v>2328.8173972602735</v>
      </c>
      <c r="ER5" s="75">
        <f t="shared" si="268"/>
        <v>93232.356881651373</v>
      </c>
      <c r="ES5" s="76">
        <f t="shared" si="269"/>
        <v>0.3340168813881812</v>
      </c>
      <c r="ET5" s="65">
        <f>('ER18'!$L$139)/'ER18'!$L$5</f>
        <v>67357.519305555485</v>
      </c>
      <c r="EU5" s="75">
        <f>'ER18'!$L$140/'ER18'!$L$8</f>
        <v>12180.983698630138</v>
      </c>
      <c r="EV5" s="65">
        <f>('ER18'!$L$141)/'ER18'!$L$8</f>
        <v>11679.761095890412</v>
      </c>
      <c r="EW5" s="75">
        <f>('ER18'!$L$142)/'ER18'!$L$8</f>
        <v>2014.0927815753425</v>
      </c>
      <c r="EX5" s="75">
        <f t="shared" si="270"/>
        <v>15433.327945205478</v>
      </c>
      <c r="EY5" s="76">
        <f t="shared" si="271"/>
        <v>5.5291877649755419E-2</v>
      </c>
      <c r="EZ5" s="75">
        <f>('ER18'!$L$145)/'ER18'!$L$8</f>
        <v>10586.136164383561</v>
      </c>
      <c r="FA5" s="75">
        <f>('ER18'!$L$146)/'ER18'!$L$8</f>
        <v>4847.1917808219177</v>
      </c>
      <c r="FB5" s="75">
        <f t="shared" si="272"/>
        <v>16090.462916666667</v>
      </c>
      <c r="FC5" s="76">
        <f t="shared" si="273"/>
        <v>5.7646148003525438E-2</v>
      </c>
      <c r="FD5" s="65">
        <f>'ER18'!$L$149/'ER18'!$L$5</f>
        <v>16090.462916666667</v>
      </c>
      <c r="FE5" s="77">
        <f t="shared" si="274"/>
        <v>-157635.13299225902</v>
      </c>
      <c r="FF5" s="70">
        <f t="shared" si="275"/>
        <v>-0.56474809047381169</v>
      </c>
      <c r="FG5" s="64" t="str">
        <f t="shared" si="276"/>
        <v>REVISAR % U.O.</v>
      </c>
      <c r="FK5" s="68">
        <f t="shared" si="277"/>
        <v>41851.598971342013</v>
      </c>
      <c r="FL5" s="68">
        <f t="shared" si="278"/>
        <v>-10.013118454713531</v>
      </c>
      <c r="FM5" s="59"/>
      <c r="FN5" s="67">
        <f t="shared" si="279"/>
        <v>279124.68523799075</v>
      </c>
      <c r="FO5" s="69">
        <f t="shared" si="280"/>
        <v>293158.7213416255</v>
      </c>
      <c r="FP5" s="70">
        <f t="shared" si="281"/>
        <v>1.0502787350809508</v>
      </c>
      <c r="FQ5" s="71">
        <f>R5*L5*'ER18'!$AB$3</f>
        <v>161272.04035972801</v>
      </c>
      <c r="FR5" s="72">
        <f t="shared" si="282"/>
        <v>92771.695547269133</v>
      </c>
      <c r="FS5" s="73">
        <f t="shared" si="283"/>
        <v>32564.546611098925</v>
      </c>
      <c r="FT5" s="74">
        <f>SUM('ER18'!$AF$19:$AF$20)/'ER18'!$AF$8*-1</f>
        <v>6550.4388235294118</v>
      </c>
      <c r="FU5" s="75">
        <f t="shared" si="284"/>
        <v>16465.531481617647</v>
      </c>
      <c r="FV5" s="76">
        <f t="shared" si="285"/>
        <v>5.8989879263378661E-2</v>
      </c>
      <c r="FW5" s="75">
        <f>('ER18'!$AF$132)/'ER18'!$AF$8</f>
        <v>11693.041334573531</v>
      </c>
      <c r="FX5" s="75">
        <f>('ER18'!$AF$133)/'ER18'!$AF$8</f>
        <v>4772.4901470441182</v>
      </c>
      <c r="FY5" s="75">
        <f t="shared" si="286"/>
        <v>2186.9889705882351</v>
      </c>
      <c r="FZ5" s="76">
        <f t="shared" si="287"/>
        <v>7.8351686047528814E-3</v>
      </c>
      <c r="GA5" s="75">
        <f>'ER18'!$AF$136/'ER18'!$AF$8</f>
        <v>2186.9889705882351</v>
      </c>
      <c r="GB5" s="75">
        <f t="shared" si="288"/>
        <v>89288.626500318584</v>
      </c>
      <c r="GC5" s="76">
        <f t="shared" si="289"/>
        <v>0.31988796126787644</v>
      </c>
      <c r="GD5" s="65">
        <f>('ER18'!$AF$139)/'ER18'!$AF$5</f>
        <v>67612.202083333294</v>
      </c>
      <c r="GE5" s="75">
        <f>'ER18'!$AF$140/'ER18'!$AF$8</f>
        <v>13132.153970588237</v>
      </c>
      <c r="GF5" s="65">
        <f>('ER18'!$AF$141)/'ER18'!$AF$8</f>
        <v>6349.2911764705877</v>
      </c>
      <c r="GG5" s="75">
        <f>('ER18'!$AF$142)/'ER18'!$AF$8</f>
        <v>2194.9792699264704</v>
      </c>
      <c r="GH5" s="75">
        <f t="shared" si="290"/>
        <v>18383.139411764707</v>
      </c>
      <c r="GI5" s="76">
        <f t="shared" si="291"/>
        <v>6.585995572584577E-2</v>
      </c>
      <c r="GJ5" s="75">
        <f>('ER18'!$AF$145)/'ER18'!$AF$8</f>
        <v>14589.613235294119</v>
      </c>
      <c r="GK5" s="75">
        <f>('ER18'!$AF$146)/'ER18'!$AF$8</f>
        <v>3793.5261764705883</v>
      </c>
      <c r="GL5" s="75">
        <f t="shared" si="292"/>
        <v>14914.37402777778</v>
      </c>
      <c r="GM5" s="76">
        <f t="shared" si="293"/>
        <v>5.3432658652391496E-2</v>
      </c>
      <c r="GN5" s="65">
        <f>'ER18'!$AF$149/'ER18'!$AF$5</f>
        <v>14914.37402777778</v>
      </c>
      <c r="GO5" s="77">
        <f t="shared" si="294"/>
        <v>-155272.6964957017</v>
      </c>
      <c r="GP5" s="70">
        <f t="shared" si="295"/>
        <v>-0.5562843585951962</v>
      </c>
      <c r="GQ5" s="64" t="str">
        <f t="shared" si="296"/>
        <v>REVISAR % U.O.</v>
      </c>
      <c r="GU5" s="68">
        <f t="shared" si="297"/>
        <v>42627.97281061465</v>
      </c>
      <c r="GV5" s="68">
        <f t="shared" si="298"/>
        <v>-10.532779659045953</v>
      </c>
      <c r="GW5" s="59"/>
      <c r="GX5" s="67">
        <f t="shared" si="299"/>
        <v>279124.68523799075</v>
      </c>
      <c r="GY5" s="69">
        <f t="shared" si="300"/>
        <v>294604.49069216393</v>
      </c>
      <c r="GZ5" s="70">
        <f t="shared" si="301"/>
        <v>1.055458389289269</v>
      </c>
      <c r="HA5" s="71">
        <f>R5*L5*'ER18'!$AJ$3</f>
        <v>163370.03635988286</v>
      </c>
      <c r="HB5" s="72">
        <f t="shared" si="302"/>
        <v>92771.695547269133</v>
      </c>
      <c r="HC5" s="73">
        <f t="shared" si="303"/>
        <v>32564.546611098925</v>
      </c>
      <c r="HD5" s="74">
        <f>SUM('ER18'!$AJ$19:$AJ$20)/'ER18'!$AJ$8*-1</f>
        <v>5898.2121739130434</v>
      </c>
      <c r="HE5" s="75">
        <f t="shared" si="304"/>
        <v>16762.153256869569</v>
      </c>
      <c r="HF5" s="76">
        <f t="shared" si="305"/>
        <v>6.0052564833445718E-2</v>
      </c>
      <c r="HG5" s="75">
        <f>('ER18'!$AJ$132)/'ER18'!$AJ$8</f>
        <v>11860.747025000002</v>
      </c>
      <c r="HH5" s="75">
        <f>('ER18'!$AJ$133)/'ER18'!$AJ$8</f>
        <v>4901.4062318695651</v>
      </c>
      <c r="HI5" s="75">
        <f t="shared" si="306"/>
        <v>2186.9889705882351</v>
      </c>
      <c r="HJ5" s="76">
        <f t="shared" si="307"/>
        <v>7.8351686047528814E-3</v>
      </c>
      <c r="HK5" s="75">
        <f>'ER18'!$AF$136/'ER18'!$AF$8</f>
        <v>2186.9889705882351</v>
      </c>
      <c r="HL5" s="75">
        <f t="shared" si="308"/>
        <v>97947.3812948985</v>
      </c>
      <c r="HM5" s="76">
        <f t="shared" si="309"/>
        <v>0.35090906134434291</v>
      </c>
      <c r="HN5" s="65">
        <f>('ER18'!$AJ$139)/'ER18'!$AJ$5</f>
        <v>69924.344166666619</v>
      </c>
      <c r="HO5" s="75">
        <f>'ER18'!$AJ$140/'ER18'!$AJ$8</f>
        <v>13091.294202898551</v>
      </c>
      <c r="HP5" s="65">
        <f>('ER18'!$AJ$141)/'ER18'!$AJ$8</f>
        <v>12768.095507246377</v>
      </c>
      <c r="HQ5" s="75">
        <f>('ER18'!$AJ$142)/'ER18'!$AJ$8</f>
        <v>2163.6474180869568</v>
      </c>
      <c r="HR5" s="75">
        <f t="shared" si="310"/>
        <v>15734.750579710144</v>
      </c>
      <c r="HS5" s="76">
        <f t="shared" si="311"/>
        <v>5.6371762914104805E-2</v>
      </c>
      <c r="HT5" s="75">
        <f>('ER18'!$AJ$145)/'ER18'!$AJ$8</f>
        <v>11654.263913043478</v>
      </c>
      <c r="HU5" s="75">
        <f>('ER18'!$AJ$146)/'ER18'!$AJ$8</f>
        <v>4080.4866666666667</v>
      </c>
      <c r="HV5" s="75">
        <f t="shared" si="312"/>
        <v>15219.965277777777</v>
      </c>
      <c r="HW5" s="76">
        <f t="shared" si="313"/>
        <v>5.4527478516637619E-2</v>
      </c>
      <c r="HX5" s="65">
        <f>'ER18'!$AJ$149/'ER18'!$AJ$5</f>
        <v>15219.965277777777</v>
      </c>
      <c r="HY5" s="77">
        <f t="shared" si="314"/>
        <v>-163331.0448340174</v>
      </c>
      <c r="HZ5" s="70">
        <f t="shared" si="315"/>
        <v>-0.58515442550255292</v>
      </c>
      <c r="IA5" s="64" t="str">
        <f t="shared" si="316"/>
        <v>REVISAR % U.O.</v>
      </c>
      <c r="IE5" s="68" t="e">
        <f t="shared" si="317"/>
        <v>#DIV/0!</v>
      </c>
      <c r="IF5" s="68" t="e">
        <f t="shared" si="318"/>
        <v>#DIV/0!</v>
      </c>
      <c r="IG5" s="59"/>
      <c r="IH5" s="67">
        <f t="shared" si="319"/>
        <v>279124.68523799075</v>
      </c>
      <c r="II5" s="69" t="e">
        <f t="shared" si="320"/>
        <v>#DIV/0!</v>
      </c>
      <c r="IJ5" s="70" t="e">
        <f t="shared" si="321"/>
        <v>#DIV/0!</v>
      </c>
      <c r="IK5" s="71">
        <f>R5*L5*'ER18'!$AN$3</f>
        <v>0</v>
      </c>
      <c r="IL5" s="72">
        <f t="shared" si="322"/>
        <v>92771.695547269133</v>
      </c>
      <c r="IM5" s="73">
        <f t="shared" si="323"/>
        <v>32564.546611098925</v>
      </c>
      <c r="IN5" s="74" t="e">
        <f>SUM('ER18'!$AN$19:$AN$20)/'ER18'!$AN$8*-1</f>
        <v>#DIV/0!</v>
      </c>
      <c r="IO5" s="75" t="e">
        <f t="shared" si="324"/>
        <v>#DIV/0!</v>
      </c>
      <c r="IP5" s="76" t="e">
        <f t="shared" si="325"/>
        <v>#DIV/0!</v>
      </c>
      <c r="IQ5" s="75" t="e">
        <f>('ER18'!$AN$132)/'ER18'!$AN$8</f>
        <v>#DIV/0!</v>
      </c>
      <c r="IR5" s="75" t="e">
        <f>('ER18'!$AN$133)/'ER18'!$AN$8</f>
        <v>#DIV/0!</v>
      </c>
      <c r="IS5" s="75" t="e">
        <f t="shared" si="326"/>
        <v>#DIV/0!</v>
      </c>
      <c r="IT5" s="76" t="e">
        <f t="shared" si="327"/>
        <v>#DIV/0!</v>
      </c>
      <c r="IU5" s="75" t="e">
        <f>'ER18'!$AN$136/'ER18'!$AN$8</f>
        <v>#DIV/0!</v>
      </c>
      <c r="IV5" s="75" t="e">
        <f t="shared" si="328"/>
        <v>#DIV/0!</v>
      </c>
      <c r="IW5" s="76" t="e">
        <f t="shared" si="329"/>
        <v>#DIV/0!</v>
      </c>
      <c r="IX5" s="65" t="e">
        <f>('ER18'!$AN$139)/'ER18'!$AN$5</f>
        <v>#DIV/0!</v>
      </c>
      <c r="IY5" s="75" t="e">
        <f>'ER18'!$AN$140/'ER18'!$AN$8</f>
        <v>#DIV/0!</v>
      </c>
      <c r="IZ5" s="65" t="e">
        <f>('ER18'!$AN$141)/'ER18'!$AN$8</f>
        <v>#DIV/0!</v>
      </c>
      <c r="JA5" s="75" t="e">
        <f>('ER18'!$AN$142)/'ER18'!$AN$8</f>
        <v>#DIV/0!</v>
      </c>
      <c r="JB5" s="75" t="e">
        <f t="shared" si="330"/>
        <v>#DIV/0!</v>
      </c>
      <c r="JC5" s="76" t="e">
        <f t="shared" si="331"/>
        <v>#DIV/0!</v>
      </c>
      <c r="JD5" s="75" t="e">
        <f>('ER18'!$AN$145)/'ER18'!$AN$8</f>
        <v>#DIV/0!</v>
      </c>
      <c r="JE5" s="75" t="e">
        <f>('ER18'!$AN$146)/'ER18'!$AN$8</f>
        <v>#DIV/0!</v>
      </c>
      <c r="JF5" s="75" t="e">
        <f t="shared" si="332"/>
        <v>#DIV/0!</v>
      </c>
      <c r="JG5" s="76" t="e">
        <f t="shared" si="333"/>
        <v>#DIV/0!</v>
      </c>
      <c r="JH5" s="65" t="e">
        <f>'ER18'!$AN$149/'ER18'!$AN$5</f>
        <v>#DIV/0!</v>
      </c>
      <c r="JI5" s="77" t="e">
        <f t="shared" si="334"/>
        <v>#DIV/0!</v>
      </c>
      <c r="JJ5" s="70" t="e">
        <f t="shared" si="335"/>
        <v>#DIV/0!</v>
      </c>
      <c r="JK5" s="64" t="e">
        <f t="shared" si="336"/>
        <v>#DIV/0!</v>
      </c>
      <c r="JO5" s="68" t="e">
        <f t="shared" si="337"/>
        <v>#DIV/0!</v>
      </c>
      <c r="JP5" s="68" t="e">
        <f t="shared" si="338"/>
        <v>#DIV/0!</v>
      </c>
      <c r="JQ5" s="59"/>
      <c r="JR5" s="67">
        <f t="shared" si="339"/>
        <v>279124.68523799075</v>
      </c>
      <c r="JS5" s="69" t="e">
        <f t="shared" si="340"/>
        <v>#DIV/0!</v>
      </c>
      <c r="JT5" s="70" t="e">
        <f t="shared" si="341"/>
        <v>#DIV/0!</v>
      </c>
      <c r="JU5" s="71">
        <f>R5*L5*'ER18'!$AN$3</f>
        <v>0</v>
      </c>
      <c r="JV5" s="72">
        <f t="shared" si="342"/>
        <v>92771.695547269133</v>
      </c>
      <c r="JW5" s="73">
        <f t="shared" si="343"/>
        <v>32564.546611098925</v>
      </c>
      <c r="JX5" s="74" t="e">
        <f>SUM('ER18'!$AR$19:$AR$20)/'ER18'!$AR$8*-1</f>
        <v>#DIV/0!</v>
      </c>
      <c r="JY5" s="75" t="e">
        <f t="shared" si="344"/>
        <v>#DIV/0!</v>
      </c>
      <c r="JZ5" s="76" t="e">
        <f t="shared" si="345"/>
        <v>#DIV/0!</v>
      </c>
      <c r="KA5" s="75" t="e">
        <f>('ER18'!$AR$132)/'ER18'!$AR$8</f>
        <v>#DIV/0!</v>
      </c>
      <c r="KB5" s="75" t="e">
        <f>('ER18'!$AR$133)/'ER18'!$AR$8</f>
        <v>#DIV/0!</v>
      </c>
      <c r="KC5" s="75" t="e">
        <f t="shared" si="346"/>
        <v>#DIV/0!</v>
      </c>
      <c r="KD5" s="76" t="e">
        <f t="shared" si="347"/>
        <v>#DIV/0!</v>
      </c>
      <c r="KE5" s="75" t="e">
        <f>'ER18'!$AR$136/'ER18'!$AR$8</f>
        <v>#DIV/0!</v>
      </c>
      <c r="KF5" s="75" t="e">
        <f t="shared" si="348"/>
        <v>#DIV/0!</v>
      </c>
      <c r="KG5" s="76" t="e">
        <f t="shared" si="349"/>
        <v>#DIV/0!</v>
      </c>
      <c r="KH5" s="65" t="e">
        <f>('ER18'!$AR$139)/'ER18'!$AR$5</f>
        <v>#DIV/0!</v>
      </c>
      <c r="KI5" s="75" t="e">
        <f>'ER18'!$AR$140/'ER18'!$AR$8</f>
        <v>#DIV/0!</v>
      </c>
      <c r="KJ5" s="65" t="e">
        <f>('ER18'!$AR$141)/'ER18'!$AR$8</f>
        <v>#DIV/0!</v>
      </c>
      <c r="KK5" s="75" t="e">
        <f>('ER18'!$AR$142)/'ER18'!$AR$8</f>
        <v>#DIV/0!</v>
      </c>
      <c r="KL5" s="75" t="e">
        <f t="shared" si="350"/>
        <v>#DIV/0!</v>
      </c>
      <c r="KM5" s="76" t="e">
        <f t="shared" si="351"/>
        <v>#DIV/0!</v>
      </c>
      <c r="KN5" s="75" t="e">
        <f>('ER18'!$AR$145)/'ER18'!$AR$8</f>
        <v>#DIV/0!</v>
      </c>
      <c r="KO5" s="75" t="e">
        <f>('ER18'!$AR$146)/'ER18'!$AR$8</f>
        <v>#DIV/0!</v>
      </c>
      <c r="KP5" s="75" t="e">
        <f t="shared" si="352"/>
        <v>#DIV/0!</v>
      </c>
      <c r="KQ5" s="76" t="e">
        <f t="shared" si="353"/>
        <v>#DIV/0!</v>
      </c>
      <c r="KR5" s="65" t="e">
        <f>'ER18'!$AR$149/'ER18'!$AR$5</f>
        <v>#DIV/0!</v>
      </c>
      <c r="KS5" s="77" t="e">
        <f t="shared" si="354"/>
        <v>#DIV/0!</v>
      </c>
      <c r="KT5" s="70" t="e">
        <f t="shared" si="355"/>
        <v>#DIV/0!</v>
      </c>
      <c r="KU5" s="64" t="e">
        <f t="shared" si="356"/>
        <v>#DIV/0!</v>
      </c>
      <c r="KY5" s="68" t="e">
        <f t="shared" si="357"/>
        <v>#DIV/0!</v>
      </c>
      <c r="KZ5" s="68" t="e">
        <f t="shared" si="358"/>
        <v>#DIV/0!</v>
      </c>
      <c r="LA5" s="59"/>
      <c r="LB5" s="67">
        <f t="shared" si="359"/>
        <v>279124.68523799075</v>
      </c>
      <c r="LC5" s="69" t="e">
        <f t="shared" si="360"/>
        <v>#DIV/0!</v>
      </c>
      <c r="LD5" s="70" t="e">
        <f t="shared" si="361"/>
        <v>#DIV/0!</v>
      </c>
      <c r="LE5" s="71">
        <f>R5*L5*'ER18'!$AN$3</f>
        <v>0</v>
      </c>
      <c r="LF5" s="72">
        <f t="shared" si="362"/>
        <v>92771.695547269133</v>
      </c>
      <c r="LG5" s="73">
        <f t="shared" si="363"/>
        <v>32564.546611098925</v>
      </c>
      <c r="LH5" s="74" t="e">
        <f>SUM('ER18'!$AV$19:$AV$20)/'ER18'!$AV$8*-1</f>
        <v>#DIV/0!</v>
      </c>
      <c r="LI5" s="75" t="e">
        <f t="shared" si="364"/>
        <v>#DIV/0!</v>
      </c>
      <c r="LJ5" s="76" t="e">
        <f t="shared" si="365"/>
        <v>#DIV/0!</v>
      </c>
      <c r="LK5" s="75" t="e">
        <f>('ER18'!$AV$132)/'ER18'!$AV$8</f>
        <v>#DIV/0!</v>
      </c>
      <c r="LL5" s="75" t="e">
        <f>('ER18'!$AV$133)/'ER18'!$AV$8</f>
        <v>#DIV/0!</v>
      </c>
      <c r="LM5" s="75" t="e">
        <f t="shared" si="366"/>
        <v>#DIV/0!</v>
      </c>
      <c r="LN5" s="76" t="e">
        <f t="shared" si="367"/>
        <v>#DIV/0!</v>
      </c>
      <c r="LO5" s="75" t="e">
        <f>'ER18'!$AV$136/'ER18'!$AV$8</f>
        <v>#DIV/0!</v>
      </c>
      <c r="LP5" s="75" t="e">
        <f t="shared" si="368"/>
        <v>#DIV/0!</v>
      </c>
      <c r="LQ5" s="76" t="e">
        <f t="shared" si="369"/>
        <v>#DIV/0!</v>
      </c>
      <c r="LR5" s="65" t="e">
        <f>('ER18'!$AV$139)/'ER18'!$AV$5</f>
        <v>#DIV/0!</v>
      </c>
      <c r="LS5" s="75" t="e">
        <f>'ER18'!$AV$140/'ER18'!$AV$8</f>
        <v>#DIV/0!</v>
      </c>
      <c r="LT5" s="65" t="e">
        <f>('ER18'!$AV$141)/'ER18'!$AV$8</f>
        <v>#DIV/0!</v>
      </c>
      <c r="LU5" s="75" t="e">
        <f>('ER18'!$AV$142)/'ER18'!$AV$8</f>
        <v>#DIV/0!</v>
      </c>
      <c r="LV5" s="75" t="e">
        <f t="shared" si="370"/>
        <v>#DIV/0!</v>
      </c>
      <c r="LW5" s="76" t="e">
        <f t="shared" si="371"/>
        <v>#DIV/0!</v>
      </c>
      <c r="LX5" s="75" t="e">
        <f>('ER18'!$AV$145)/'ER18'!$AV$8</f>
        <v>#DIV/0!</v>
      </c>
      <c r="LY5" s="75" t="e">
        <f>('ER18'!$AV$146)/'ER18'!$AV$8</f>
        <v>#DIV/0!</v>
      </c>
      <c r="LZ5" s="75" t="e">
        <f t="shared" si="372"/>
        <v>#DIV/0!</v>
      </c>
      <c r="MA5" s="76" t="e">
        <f t="shared" si="373"/>
        <v>#DIV/0!</v>
      </c>
      <c r="MB5" s="65" t="e">
        <f>'ER18'!$AV$149/'ER18'!$AV$5</f>
        <v>#DIV/0!</v>
      </c>
      <c r="MC5" s="77" t="e">
        <f t="shared" si="374"/>
        <v>#DIV/0!</v>
      </c>
      <c r="MD5" s="70" t="e">
        <f t="shared" si="375"/>
        <v>#DIV/0!</v>
      </c>
      <c r="ME5" s="64" t="e">
        <f t="shared" si="376"/>
        <v>#DIV/0!</v>
      </c>
    </row>
    <row r="6" spans="1:343" s="64" customFormat="1" ht="11.25" x14ac:dyDescent="0.2">
      <c r="A6" s="64">
        <v>444</v>
      </c>
      <c r="B6" s="84">
        <v>43601</v>
      </c>
      <c r="C6" s="143" t="s">
        <v>187</v>
      </c>
      <c r="D6" s="143" t="s">
        <v>182</v>
      </c>
      <c r="E6" s="143" t="s">
        <v>194</v>
      </c>
      <c r="F6" s="65" t="s">
        <v>129</v>
      </c>
      <c r="G6" s="139">
        <f t="shared" ref="G6" si="379">H6*18</f>
        <v>40788</v>
      </c>
      <c r="H6" s="118">
        <f t="shared" ref="H6" si="380">IF(BB6="TWO WAY",I6*2,I6*1)</f>
        <v>2266</v>
      </c>
      <c r="I6" s="78">
        <v>1133</v>
      </c>
      <c r="J6" s="66">
        <v>6467</v>
      </c>
      <c r="K6" s="81">
        <v>1.7</v>
      </c>
      <c r="L6" s="83">
        <f t="shared" ref="L6" si="381">BA6</f>
        <v>7.920549015231825</v>
      </c>
      <c r="M6" s="80">
        <v>2.1</v>
      </c>
      <c r="N6" s="67">
        <f t="shared" ref="N6" si="382">G6</f>
        <v>40788</v>
      </c>
      <c r="O6" s="68">
        <f t="shared" ref="O6" si="383">(X6+AK6+AD6+AH6+AQ6+AU6)/L6</f>
        <v>65281.010267120793</v>
      </c>
      <c r="P6" s="68">
        <f t="shared" ref="P6" si="384">N6-O6</f>
        <v>-24493.010267120793</v>
      </c>
      <c r="Q6" s="141">
        <f t="shared" ref="Q6" si="385">H6*L6</f>
        <v>17947.964068515317</v>
      </c>
      <c r="R6" s="141">
        <f t="shared" ref="R6" si="386">H6/K6</f>
        <v>1332.9411764705883</v>
      </c>
      <c r="S6" s="141">
        <f t="shared" ref="S6" si="387">G6/H6</f>
        <v>18</v>
      </c>
      <c r="T6" s="141">
        <f t="shared" ref="T6" si="388">O6/H6</f>
        <v>28.808918917529034</v>
      </c>
      <c r="U6" s="141">
        <f t="shared" ref="U6" si="389">(AX6/L6)/H6</f>
        <v>-10.808918917529036</v>
      </c>
      <c r="V6" s="59"/>
      <c r="W6" s="127">
        <f t="shared" ref="W6" si="390">+L6*N6</f>
        <v>323063.3532332757</v>
      </c>
      <c r="X6" s="126">
        <f t="shared" ref="X6" si="391">Z6+AA6+AB6+AC6</f>
        <v>376081.08131728449</v>
      </c>
      <c r="Y6" s="70">
        <f t="shared" ref="Y6" si="392">X6/W6</f>
        <v>1.1641093845940678</v>
      </c>
      <c r="Z6" s="72">
        <f>R6*L6*'ER18'!$BD$3</f>
        <v>221710.14437577745</v>
      </c>
      <c r="AA6" s="72">
        <f>IF(BB6="TWO WAY",(J6*2*L6)*'ER18'!$BD$6,(J6*1*L6)*'ER18'!$BD$6)</f>
        <v>110639.93144004911</v>
      </c>
      <c r="AB6" s="72">
        <f t="shared" ref="AB6" si="393">H6*M6*L6</f>
        <v>37690.724543882163</v>
      </c>
      <c r="AC6" s="74">
        <f>'ER18'!$BD$129/'ER18'!$BD$8</f>
        <v>6040.2809575757583</v>
      </c>
      <c r="AD6" s="126">
        <f t="shared" ref="AD6" si="394">SUM(AF6:AG6)</f>
        <v>16277.567324506665</v>
      </c>
      <c r="AE6" s="76">
        <f t="shared" ref="AE6" si="395">AD6/W6</f>
        <v>5.038506274883197E-2</v>
      </c>
      <c r="AF6" s="72">
        <f>'ER18'!$BD$132/'ER18'!$BD$8</f>
        <v>11764.15967760121</v>
      </c>
      <c r="AG6" s="72">
        <f>'ER18'!$BD$133/'ER18'!$BD$8</f>
        <v>4513.4076469054553</v>
      </c>
      <c r="AH6" s="126">
        <f t="shared" ref="AH6" si="396">AJ6</f>
        <v>3143.4067515151514</v>
      </c>
      <c r="AI6" s="76">
        <f t="shared" ref="AI6" si="397">AH6/W6</f>
        <v>9.7300010046183685E-3</v>
      </c>
      <c r="AJ6" s="75">
        <f>'ER18'!$BD$136/'ER18'!$BD$8</f>
        <v>3143.4067515151514</v>
      </c>
      <c r="AK6" s="126">
        <f t="shared" ref="AK6" si="398">SUM(AM6:AP6)</f>
        <v>89021.581233022764</v>
      </c>
      <c r="AL6" s="76">
        <f t="shared" ref="AL6" si="399">AK6/W6</f>
        <v>0.27555456334517331</v>
      </c>
      <c r="AM6" s="65">
        <f>'ER18'!$BD$139/'ER18'!$BD$5</f>
        <v>65524.036435185197</v>
      </c>
      <c r="AN6" s="75">
        <f>'ER18'!$BD$140/'ER18'!$BD$8</f>
        <v>13161.451340606063</v>
      </c>
      <c r="AO6" s="65">
        <f>'ER18'!$BD$141/'ER18'!$BD$8</f>
        <v>8564.4664969696969</v>
      </c>
      <c r="AP6" s="75">
        <f>'ER18'!$BD$142/'ER18'!$BD$8</f>
        <v>1771.6269602618183</v>
      </c>
      <c r="AQ6" s="126">
        <f t="shared" ref="AQ6" si="400">SUM(AS6:AT6)</f>
        <v>16591.309865660605</v>
      </c>
      <c r="AR6" s="76">
        <f t="shared" ref="AR6" si="401">AQ6/W6</f>
        <v>5.135621140439426E-2</v>
      </c>
      <c r="AS6" s="75">
        <f>('ER18'!$BD$145)/'ER18'!$BD$8</f>
        <v>12141.341139393939</v>
      </c>
      <c r="AT6" s="75">
        <f>'ER18'!$BD$146/'ER18'!$BD$8</f>
        <v>4449.9687262666666</v>
      </c>
      <c r="AU6" s="126">
        <f t="shared" ref="AU6" si="402">SUM(AW6)</f>
        <v>15946.495092592593</v>
      </c>
      <c r="AV6" s="76">
        <f t="shared" ref="AV6" si="403">AU6/W6</f>
        <v>4.9360272321194047E-2</v>
      </c>
      <c r="AW6" s="65">
        <f>'ER18'!$BD$149/'ER18'!$BD$5</f>
        <v>15946.495092592593</v>
      </c>
      <c r="AX6" s="77">
        <f t="shared" ref="AX6" si="404">W6-X6-AD6-AH6-AK6-AQ6-AU6</f>
        <v>-193998.08835130659</v>
      </c>
      <c r="AY6" s="70">
        <f t="shared" ref="AY6" si="405">AX6/W6</f>
        <v>-0.60049549541827973</v>
      </c>
      <c r="AZ6" s="64" t="str">
        <f t="shared" ref="AZ6" si="406">IF(AY6&gt;$AZ$1,"ACEPTABLE","REVISAR % U.O.")</f>
        <v>REVISAR % U.O.</v>
      </c>
      <c r="BA6" s="74">
        <f t="shared" ref="BA6" si="407">624/+(((H6/65)+((H6/65)/14)*8)+8+8+8)</f>
        <v>7.920549015231825</v>
      </c>
      <c r="BB6" s="64" t="s">
        <v>186</v>
      </c>
      <c r="BD6" s="85">
        <v>0.10100000000000001</v>
      </c>
      <c r="BG6" s="68">
        <f t="shared" ref="BG6" si="408">(+BK6+BQ6+BU6+BX6+CD6+CH6)/L6</f>
        <v>59222.039006592669</v>
      </c>
      <c r="BH6" s="68">
        <f t="shared" ref="BH6" si="409">(CK6/L6)/H6</f>
        <v>-8.1350569314177648</v>
      </c>
      <c r="BI6" s="59"/>
      <c r="BJ6" s="67">
        <f t="shared" ref="BJ6" si="410">+L6*N6</f>
        <v>323063.3532332757</v>
      </c>
      <c r="BK6" s="69">
        <f t="shared" ref="BK6" si="411">BM6+BN6+BO6+BP6</f>
        <v>333287.43435913243</v>
      </c>
      <c r="BL6" s="70">
        <f t="shared" ref="BL6" si="412">BK6/BJ6</f>
        <v>1.0316472946359663</v>
      </c>
      <c r="BM6" s="71">
        <f>R6*L6*'ER18'!$D$3</f>
        <v>186658.82631255928</v>
      </c>
      <c r="BN6" s="72">
        <f>(J6*2*L6)*'ER18'!$D$6</f>
        <v>102444.38096300843</v>
      </c>
      <c r="BO6" s="73">
        <f t="shared" ref="BO6" si="413">H6*M6*L6</f>
        <v>37690.724543882163</v>
      </c>
      <c r="BP6" s="74">
        <f>SUM('ER18'!$D$129)/'ER18'!$D$8</f>
        <v>6493.5025396825395</v>
      </c>
      <c r="BQ6" s="75">
        <f t="shared" ref="BQ6" si="414">SUM(BS6:BT6)</f>
        <v>17881.94554122222</v>
      </c>
      <c r="BR6" s="76">
        <f t="shared" ref="BR6" si="415">BQ6/BJ6</f>
        <v>5.5351203911729749E-2</v>
      </c>
      <c r="BS6" s="75">
        <f>('ER18'!$D$132)/'ER18'!$D$8</f>
        <v>13867.649826936507</v>
      </c>
      <c r="BT6" s="75">
        <f>('ER18'!$D$133)/'ER18'!$D$8</f>
        <v>4014.2957142857135</v>
      </c>
      <c r="BU6" s="75">
        <f t="shared" ref="BU6" si="416">BW6</f>
        <v>4932.3322222222223</v>
      </c>
      <c r="BV6" s="76">
        <f t="shared" ref="BV6" si="417">BU6/BJ6</f>
        <v>1.5267383851676648E-2</v>
      </c>
      <c r="BW6" s="75">
        <f>'ER18'!$D$136/'ER18'!$D$8</f>
        <v>4932.3322222222223</v>
      </c>
      <c r="BX6" s="75">
        <f t="shared" ref="BX6" si="418">SUM(BZ6:CC6)</f>
        <v>81019.172634920877</v>
      </c>
      <c r="BY6" s="76">
        <f t="shared" ref="BY6" si="419">BX6/BJ6</f>
        <v>0.25078416299486317</v>
      </c>
      <c r="BZ6" s="65">
        <f>('ER18'!$D$139)/'ER18'!$D$5</f>
        <v>56411.991111111354</v>
      </c>
      <c r="CA6" s="75">
        <f>'ER18'!$D$140/'ER18'!$D$8</f>
        <v>10217.731523809523</v>
      </c>
      <c r="CB6" s="65">
        <f>('ER18'!$D$141)/'ER18'!$D$8</f>
        <v>12246.49857142857</v>
      </c>
      <c r="CC6" s="75">
        <f>('ER18'!$D$142)/'ER18'!$D$8</f>
        <v>2142.9514285714286</v>
      </c>
      <c r="CD6" s="75">
        <f t="shared" ref="CD6" si="420">SUM(CF6:CG6)</f>
        <v>15157.73714285714</v>
      </c>
      <c r="CE6" s="76">
        <f t="shared" ref="CE6" si="421">CD6/BJ6</f>
        <v>4.6918776119778988E-2</v>
      </c>
      <c r="CF6" s="75">
        <f>('ER18'!$D$145)/'ER18'!$D$8</f>
        <v>11368.493968253966</v>
      </c>
      <c r="CG6" s="75">
        <f>('ER18'!$D$146)/'ER18'!$D$8</f>
        <v>3789.2431746031748</v>
      </c>
      <c r="CH6" s="75">
        <f t="shared" ref="CH6" si="422">SUM(CJ6)</f>
        <v>16792.44083333333</v>
      </c>
      <c r="CI6" s="76">
        <f t="shared" ref="CI6" si="423">CH6/BJ6</f>
        <v>5.1978785786972077E-2</v>
      </c>
      <c r="CJ6" s="65">
        <f>'ER18'!$D$149/'ER18'!$D$5</f>
        <v>16792.44083333333</v>
      </c>
      <c r="CK6" s="77">
        <f t="shared" ref="CK6" si="424">BJ6-BK6-BQ6-BU6-BX6-CD6-CH6</f>
        <v>-146007.70950041251</v>
      </c>
      <c r="CL6" s="70">
        <f t="shared" ref="CL6" si="425">CK6/BJ6</f>
        <v>-0.45194760730098693</v>
      </c>
      <c r="CM6" s="64" t="str">
        <f t="shared" ref="CM6" si="426">IF(CL6&gt;$AZ$1,"ACEPTABLE","REVISAR % U.O.")</f>
        <v>REVISAR % U.O.</v>
      </c>
      <c r="CQ6" s="68">
        <f t="shared" ref="CQ6" si="427">(+CU6+DA6+DE6+DH6+DN6+DR6)/L6</f>
        <v>60485.827303406782</v>
      </c>
      <c r="CR6" s="68" t="e">
        <f>(DU6/#REF!)/H6</f>
        <v>#REF!</v>
      </c>
      <c r="CS6" s="59"/>
      <c r="CT6" s="67">
        <f t="shared" ref="CT6" si="428">L6*N6</f>
        <v>323063.3532332757</v>
      </c>
      <c r="CU6" s="69">
        <f t="shared" ref="CU6" si="429">CW6+CX6+CY6+CZ6</f>
        <v>332897.16549592046</v>
      </c>
      <c r="CV6" s="70">
        <f t="shared" ref="CV6" si="430">CU6/CT6</f>
        <v>1.0304392688437924</v>
      </c>
      <c r="CW6" s="71">
        <f>R6*L6*'ER18'!$H$3</f>
        <v>186658.82631255928</v>
      </c>
      <c r="CX6" s="72">
        <f>(J6*2*L6)*'ER18'!$D$6</f>
        <v>102444.38096300843</v>
      </c>
      <c r="CY6" s="73">
        <f t="shared" ref="CY6" si="431">H6*M6*L6</f>
        <v>37690.724543882163</v>
      </c>
      <c r="CZ6" s="74">
        <f>SUM('ER18'!$H$129)/'ER18'!$H$8</f>
        <v>6103.2336764705869</v>
      </c>
      <c r="DA6" s="75">
        <f t="shared" ref="DA6" si="432">SUM(DC6:DD6)</f>
        <v>15890.227561588235</v>
      </c>
      <c r="DB6" s="76">
        <f t="shared" ref="DB6" si="433">DA6/CT6</f>
        <v>4.9186103600287689E-2</v>
      </c>
      <c r="DC6" s="75">
        <f>('ER18'!$H$132)/'ER18'!$H$8</f>
        <v>10468.572014529411</v>
      </c>
      <c r="DD6" s="75">
        <f>('ER18'!$H$133)/'ER18'!$H$8</f>
        <v>5421.6555470588237</v>
      </c>
      <c r="DE6" s="75">
        <f t="shared" ref="DE6" si="434">DG6</f>
        <v>2500.0539705882352</v>
      </c>
      <c r="DF6" s="76">
        <f t="shared" ref="DF6" si="435">DE6/CT6</f>
        <v>7.7385873252637568E-3</v>
      </c>
      <c r="DG6" s="75">
        <f>'ER18'!$H$136/'ER18'!$H$8</f>
        <v>2500.0539705882352</v>
      </c>
      <c r="DH6" s="75">
        <f t="shared" ref="DH6" si="436">SUM(DJ6:DM6)</f>
        <v>95134.918468129006</v>
      </c>
      <c r="DI6" s="76">
        <f t="shared" ref="DI6" si="437">DH6/CT6</f>
        <v>0.29447759244743099</v>
      </c>
      <c r="DJ6" s="65">
        <f>('ER18'!$H$139)/'ER18'!$H$5</f>
        <v>67357.519305555485</v>
      </c>
      <c r="DK6" s="75">
        <f>'ER18'!$H$140/'ER18'!$H$8</f>
        <v>13076.644264705883</v>
      </c>
      <c r="DL6" s="65">
        <f>('ER18'!$H$141)/'ER18'!$H$8</f>
        <v>12538.56705882353</v>
      </c>
      <c r="DM6" s="75">
        <f>('ER18'!$H$142)/'ER18'!$H$8</f>
        <v>2162.1878390441175</v>
      </c>
      <c r="DN6" s="75">
        <f t="shared" ref="DN6" si="438">SUM(DP6:DQ6)</f>
        <v>16568.131470588232</v>
      </c>
      <c r="DO6" s="76">
        <f t="shared" ref="DO6" si="439">DN6/CT6</f>
        <v>5.1284465739525747E-2</v>
      </c>
      <c r="DP6" s="75">
        <f>('ER18'!$H$145)/'ER18'!$H$8</f>
        <v>11364.528529411764</v>
      </c>
      <c r="DQ6" s="75">
        <f>('ER18'!$H$146)/'ER18'!$H$8</f>
        <v>5203.6029411764703</v>
      </c>
      <c r="DR6" s="75">
        <f t="shared" ref="DR6" si="440">SUM(DT6)</f>
        <v>16090.462916666667</v>
      </c>
      <c r="DS6" s="76">
        <f t="shared" ref="DS6" si="441">DR6/CT6</f>
        <v>4.9805905732205287E-2</v>
      </c>
      <c r="DT6" s="65">
        <f>'ER18'!$H$149/'ER18'!$H$5</f>
        <v>16090.462916666667</v>
      </c>
      <c r="DU6" s="77">
        <f t="shared" ref="DU6" si="442">CT6-CU6-DA6-DE6-DH6-DN6-DR6</f>
        <v>-156017.60665020515</v>
      </c>
      <c r="DV6" s="70">
        <f t="shared" ref="DV6" si="443">DU6/CT6</f>
        <v>-0.48293192368850596</v>
      </c>
      <c r="DW6" s="64" t="str">
        <f t="shared" ref="DW6" si="444">IF(DV6&gt;$AZ$1,"ACEPTABLE","REVISAR % U.O.")</f>
        <v>REVISAR % U.O.</v>
      </c>
      <c r="EA6" s="68">
        <f t="shared" ref="EA6" si="445">(+EE6+EK6+EO6+ER6+EX6+FB6)/L6</f>
        <v>60216.213120378496</v>
      </c>
      <c r="EB6" s="68">
        <f t="shared" ref="EB6" si="446">(FE6/L6)/H6</f>
        <v>-8.5737921978722369</v>
      </c>
      <c r="EC6" s="59"/>
      <c r="ED6" s="67">
        <f t="shared" ref="ED6" si="447">L6*N6</f>
        <v>323063.3532332757</v>
      </c>
      <c r="EE6" s="69">
        <f t="shared" ref="EE6" si="448">EG6+EH6+EI6+EJ6</f>
        <v>332220.80264136771</v>
      </c>
      <c r="EF6" s="70">
        <f t="shared" ref="EF6" si="449">EE6/ED6</f>
        <v>1.0283456768353409</v>
      </c>
      <c r="EG6" s="71">
        <f>R6*L6*'ER18'!$L$3</f>
        <v>186658.82631255928</v>
      </c>
      <c r="EH6" s="72">
        <f>(J6*2*L6)*'ER18'!$L$6</f>
        <v>102444.38096300843</v>
      </c>
      <c r="EI6" s="73">
        <f t="shared" ref="EI6" si="450">H6*M6*L6</f>
        <v>37690.724543882163</v>
      </c>
      <c r="EJ6" s="74">
        <f>SUM('ER18'!$L$129)/'ER18'!$L$8</f>
        <v>5426.8708219178088</v>
      </c>
      <c r="EK6" s="75">
        <f t="shared" ref="EK6" si="451">SUM(EM6:EN6)</f>
        <v>17639.699749452055</v>
      </c>
      <c r="EL6" s="76">
        <f t="shared" ref="EL6" si="452">EK6/ED6</f>
        <v>5.4601364013933465E-2</v>
      </c>
      <c r="EM6" s="75">
        <f>('ER18'!$L$132)/'ER18'!$L$8</f>
        <v>12589.390472739726</v>
      </c>
      <c r="EN6" s="75">
        <f>('ER18'!$L$133)/'ER18'!$L$8</f>
        <v>5050.3092767123289</v>
      </c>
      <c r="EO6" s="75">
        <f t="shared" ref="EO6" si="453">EQ6</f>
        <v>2328.8173972602735</v>
      </c>
      <c r="EP6" s="76">
        <f t="shared" ref="EP6" si="454">EO6/ED6</f>
        <v>7.2085470975059643E-3</v>
      </c>
      <c r="EQ6" s="75">
        <f>'ER18'!$L$136/'ER18'!$L$8</f>
        <v>2328.8173972602735</v>
      </c>
      <c r="ER6" s="75">
        <f t="shared" ref="ER6" si="455">SUM(ET6:EW6)</f>
        <v>93232.356881651373</v>
      </c>
      <c r="ES6" s="76">
        <f t="shared" ref="ES6" si="456">ER6/ED6</f>
        <v>0.288588463991862</v>
      </c>
      <c r="ET6" s="65">
        <f>('ER18'!$L$139)/'ER18'!$L$5</f>
        <v>67357.519305555485</v>
      </c>
      <c r="EU6" s="75">
        <f>'ER18'!$L$140/'ER18'!$L$8</f>
        <v>12180.983698630138</v>
      </c>
      <c r="EV6" s="65">
        <f>('ER18'!$L$141)/'ER18'!$L$8</f>
        <v>11679.761095890412</v>
      </c>
      <c r="EW6" s="75">
        <f>('ER18'!$L$142)/'ER18'!$L$8</f>
        <v>2014.0927815753425</v>
      </c>
      <c r="EX6" s="75">
        <f t="shared" ref="EX6" si="457">SUM(EZ6:FA6)</f>
        <v>15433.327945205478</v>
      </c>
      <c r="EY6" s="76">
        <f t="shared" ref="EY6" si="458">EX6/ED6</f>
        <v>4.7771831099832206E-2</v>
      </c>
      <c r="EZ6" s="75">
        <f>('ER18'!$L$145)/'ER18'!$L$8</f>
        <v>10586.136164383561</v>
      </c>
      <c r="FA6" s="75">
        <f>('ER18'!$L$146)/'ER18'!$L$8</f>
        <v>4847.1917808219177</v>
      </c>
      <c r="FB6" s="75">
        <f t="shared" ref="FB6" si="459">SUM(FD6)</f>
        <v>16090.462916666667</v>
      </c>
      <c r="FC6" s="76">
        <f t="shared" ref="FC6" si="460">FB6/ED6</f>
        <v>4.9805905732205287E-2</v>
      </c>
      <c r="FD6" s="65">
        <f>'ER18'!$L$149/'ER18'!$L$5</f>
        <v>16090.462916666667</v>
      </c>
      <c r="FE6" s="77">
        <f t="shared" ref="FE6" si="461">ED6-EE6-EK6-EO6-ER6-EX6-FB6</f>
        <v>-153882.11429832786</v>
      </c>
      <c r="FF6" s="70">
        <f t="shared" ref="FF6" si="462">FE6/ED6</f>
        <v>-0.47632178877067977</v>
      </c>
      <c r="FG6" s="64" t="str">
        <f t="shared" ref="FG6" si="463">IF(FF6&gt;$AZ$1,"ACEPTABLE","REVISAR % U.O.")</f>
        <v>REVISAR % U.O.</v>
      </c>
      <c r="FK6" s="68">
        <f t="shared" ref="FK6" si="464">(+FO6+FU6+FY6+GB6+GH6+GL6)/L6</f>
        <v>59917.946359827649</v>
      </c>
      <c r="FL6" s="68">
        <f t="shared" ref="FL6" si="465">(GO6/L6)/H6</f>
        <v>-8.4421652073378866</v>
      </c>
      <c r="FM6" s="59"/>
      <c r="FN6" s="67">
        <f t="shared" ref="FN6" si="466">+L6*N6</f>
        <v>323063.3532332757</v>
      </c>
      <c r="FO6" s="69">
        <f t="shared" ref="FO6" si="467">FQ6+FR6+FS6+FT6</f>
        <v>333344.37064297928</v>
      </c>
      <c r="FP6" s="70">
        <f t="shared" ref="FP6" si="468">FO6/FN6</f>
        <v>1.0318235333930925</v>
      </c>
      <c r="FQ6" s="71">
        <f>R6*L6*'ER18'!$AB$3</f>
        <v>186658.82631255928</v>
      </c>
      <c r="FR6" s="72">
        <f t="shared" ref="FR6" si="469">J6*2*L6</f>
        <v>102444.38096300843</v>
      </c>
      <c r="FS6" s="73">
        <f t="shared" ref="FS6" si="470">H6*M6*L6</f>
        <v>37690.724543882163</v>
      </c>
      <c r="FT6" s="74">
        <f>SUM('ER18'!$AF$19:$AF$20)/'ER18'!$AF$8*-1</f>
        <v>6550.4388235294118</v>
      </c>
      <c r="FU6" s="75">
        <f t="shared" ref="FU6" si="471">SUM(FW6:FX6)</f>
        <v>16465.531481617647</v>
      </c>
      <c r="FV6" s="76">
        <f t="shared" ref="FV6" si="472">FU6/FN6</f>
        <v>5.0966881005931712E-2</v>
      </c>
      <c r="FW6" s="75">
        <f>('ER18'!$AF$132)/'ER18'!$AF$8</f>
        <v>11693.041334573531</v>
      </c>
      <c r="FX6" s="75">
        <f>('ER18'!$AF$133)/'ER18'!$AF$8</f>
        <v>4772.4901470441182</v>
      </c>
      <c r="FY6" s="75">
        <f t="shared" ref="FY6" si="473">GA6</f>
        <v>2186.9889705882351</v>
      </c>
      <c r="FZ6" s="76">
        <f t="shared" ref="FZ6" si="474">FY6/FN6</f>
        <v>6.7695359089802636E-3</v>
      </c>
      <c r="GA6" s="75">
        <f>'ER18'!$AF$136/'ER18'!$AF$8</f>
        <v>2186.9889705882351</v>
      </c>
      <c r="GB6" s="75">
        <f t="shared" ref="GB6" si="475">SUM(GD6:GG6)</f>
        <v>89288.626500318584</v>
      </c>
      <c r="GC6" s="76">
        <f t="shared" ref="GC6" si="476">GB6/FN6</f>
        <v>0.27638116674857138</v>
      </c>
      <c r="GD6" s="65">
        <f>('ER18'!$AF$139)/'ER18'!$AF$5</f>
        <v>67612.202083333294</v>
      </c>
      <c r="GE6" s="75">
        <f>'ER18'!$AF$140/'ER18'!$AF$8</f>
        <v>13132.153970588237</v>
      </c>
      <c r="GF6" s="65">
        <f>('ER18'!$AF$141)/'ER18'!$AF$8</f>
        <v>6349.2911764705877</v>
      </c>
      <c r="GG6" s="75">
        <f>('ER18'!$AF$142)/'ER18'!$AF$8</f>
        <v>2194.9792699264704</v>
      </c>
      <c r="GH6" s="75">
        <f t="shared" ref="GH6" si="477">SUM(GJ6:GK6)</f>
        <v>18383.139411764707</v>
      </c>
      <c r="GI6" s="76">
        <f t="shared" ref="GI6" si="478">GH6/FN6</f>
        <v>5.6902583433815587E-2</v>
      </c>
      <c r="GJ6" s="75">
        <f>('ER18'!$AF$145)/'ER18'!$AF$8</f>
        <v>14589.613235294119</v>
      </c>
      <c r="GK6" s="75">
        <f>('ER18'!$AF$146)/'ER18'!$AF$8</f>
        <v>3793.5261764705883</v>
      </c>
      <c r="GL6" s="75">
        <f t="shared" ref="GL6" si="479">SUM(GN6)</f>
        <v>14914.37402777778</v>
      </c>
      <c r="GM6" s="76">
        <f t="shared" ref="GM6" si="480">GL6/FN6</f>
        <v>4.616547769504669E-2</v>
      </c>
      <c r="GN6" s="65">
        <f>'ER18'!$AF$149/'ER18'!$AF$5</f>
        <v>14914.37402777778</v>
      </c>
      <c r="GO6" s="77">
        <f t="shared" ref="GO6" si="481">FN6-FO6-FU6-FY6-GB6-GH6-GL6</f>
        <v>-151519.67780177054</v>
      </c>
      <c r="GP6" s="70">
        <f t="shared" ref="GP6" si="482">GO6/FN6</f>
        <v>-0.46900917818543814</v>
      </c>
      <c r="GQ6" s="64" t="str">
        <f t="shared" ref="GQ6" si="483">IF(GP6&gt;$AZ$1,"ACEPTABLE","REVISAR % U.O.")</f>
        <v>REVISAR % U.O.</v>
      </c>
      <c r="GU6" s="68">
        <f t="shared" ref="GU6" si="484">(+GY6+HE6+HI6+HL6+HR6+HV6)/L6</f>
        <v>60977.040405485328</v>
      </c>
      <c r="GV6" s="68">
        <f t="shared" ref="GV6" si="485">(HY6/L6)/H6</f>
        <v>-8.9095500465513346</v>
      </c>
      <c r="GW6" s="59"/>
      <c r="GX6" s="67">
        <f t="shared" ref="GX6" si="486">+L6*N6</f>
        <v>323063.3532332757</v>
      </c>
      <c r="GY6" s="69">
        <f t="shared" ref="GY6" si="487">HA6+HB6+HC6+HD6</f>
        <v>335120.3979555738</v>
      </c>
      <c r="GZ6" s="70">
        <f t="shared" ref="GZ6" si="488">GY6/GX6</f>
        <v>1.0373209916928956</v>
      </c>
      <c r="HA6" s="71">
        <f>R6*L6*'ER18'!$AJ$3</f>
        <v>189087.08027477018</v>
      </c>
      <c r="HB6" s="72">
        <f t="shared" ref="HB6" si="489">J6*2*L6</f>
        <v>102444.38096300843</v>
      </c>
      <c r="HC6" s="73">
        <f t="shared" ref="HC6" si="490">H6*M6*L6</f>
        <v>37690.724543882163</v>
      </c>
      <c r="HD6" s="74">
        <f>SUM('ER18'!$AJ$19:$AJ$20)/'ER18'!$AJ$8*-1</f>
        <v>5898.2121739130434</v>
      </c>
      <c r="HE6" s="75">
        <f t="shared" ref="HE6" si="491">SUM(HG6:HH6)</f>
        <v>16762.153256869569</v>
      </c>
      <c r="HF6" s="76">
        <f t="shared" ref="HF6" si="492">HE6/GX6</f>
        <v>5.1885034588760835E-2</v>
      </c>
      <c r="HG6" s="75">
        <f>('ER18'!$AJ$132)/'ER18'!$AJ$8</f>
        <v>11860.747025000002</v>
      </c>
      <c r="HH6" s="75">
        <f>('ER18'!$AJ$133)/'ER18'!$AJ$8</f>
        <v>4901.4062318695651</v>
      </c>
      <c r="HI6" s="75">
        <f t="shared" ref="HI6" si="493">HK6</f>
        <v>2186.9889705882351</v>
      </c>
      <c r="HJ6" s="76">
        <f t="shared" ref="HJ6" si="494">HI6/GX6</f>
        <v>6.7695359089802636E-3</v>
      </c>
      <c r="HK6" s="75">
        <f>'ER18'!$AF$136/'ER18'!$AF$8</f>
        <v>2186.9889705882351</v>
      </c>
      <c r="HL6" s="75">
        <f t="shared" ref="HL6" si="495">SUM(HN6:HQ6)</f>
        <v>97947.3812948985</v>
      </c>
      <c r="HM6" s="76">
        <f t="shared" ref="HM6" si="496">HL6/GX6</f>
        <v>0.30318320018232842</v>
      </c>
      <c r="HN6" s="65">
        <f>('ER18'!$AJ$139)/'ER18'!$AJ$5</f>
        <v>69924.344166666619</v>
      </c>
      <c r="HO6" s="75">
        <f>'ER18'!$AJ$140/'ER18'!$AJ$8</f>
        <v>13091.294202898551</v>
      </c>
      <c r="HP6" s="65">
        <f>('ER18'!$AJ$141)/'ER18'!$AJ$8</f>
        <v>12768.095507246377</v>
      </c>
      <c r="HQ6" s="75">
        <f>('ER18'!$AJ$142)/'ER18'!$AJ$8</f>
        <v>2163.6474180869568</v>
      </c>
      <c r="HR6" s="75">
        <f t="shared" ref="HR6" si="497">SUM(HT6:HU6)</f>
        <v>15734.750579710144</v>
      </c>
      <c r="HS6" s="76">
        <f t="shared" ref="HS6" si="498">HR6/GX6</f>
        <v>4.8704845109276404E-2</v>
      </c>
      <c r="HT6" s="75">
        <f>('ER18'!$AJ$145)/'ER18'!$AJ$8</f>
        <v>11654.263913043478</v>
      </c>
      <c r="HU6" s="75">
        <f>('ER18'!$AJ$146)/'ER18'!$AJ$8</f>
        <v>4080.4866666666667</v>
      </c>
      <c r="HV6" s="75">
        <f t="shared" ref="HV6" si="499">SUM(HX6)</f>
        <v>15219.965277777777</v>
      </c>
      <c r="HW6" s="76">
        <f t="shared" ref="HW6" si="500">HV6/GX6</f>
        <v>4.7111395103943694E-2</v>
      </c>
      <c r="HX6" s="65">
        <f>'ER18'!$AJ$149/'ER18'!$AJ$5</f>
        <v>15219.965277777777</v>
      </c>
      <c r="HY6" s="77">
        <f t="shared" ref="HY6" si="501">GX6-GY6-HE6-HI6-HL6-HR6-HV6</f>
        <v>-159908.28410214232</v>
      </c>
      <c r="HZ6" s="70">
        <f t="shared" ref="HZ6" si="502">HY6/GX6</f>
        <v>-0.49497500258618526</v>
      </c>
      <c r="IA6" s="64" t="str">
        <f t="shared" ref="IA6" si="503">IF(HZ6&gt;$AZ$1,"ACEPTABLE","REVISAR % U.O.")</f>
        <v>REVISAR % U.O.</v>
      </c>
      <c r="IE6" s="68" t="e">
        <f t="shared" ref="IE6" si="504">(+II6+IO6+IS6+IV6+JB6+JF6)/L6</f>
        <v>#DIV/0!</v>
      </c>
      <c r="IF6" s="68" t="e">
        <f t="shared" ref="IF6" si="505">(JI6/L6)/H6</f>
        <v>#DIV/0!</v>
      </c>
      <c r="IG6" s="59"/>
      <c r="IH6" s="67">
        <f t="shared" ref="IH6" si="506">+L6*N6</f>
        <v>323063.3532332757</v>
      </c>
      <c r="II6" s="69" t="e">
        <f t="shared" ref="II6" si="507">IK6+IL6+IM6+IN6</f>
        <v>#DIV/0!</v>
      </c>
      <c r="IJ6" s="70" t="e">
        <f t="shared" ref="IJ6" si="508">II6/IH6</f>
        <v>#DIV/0!</v>
      </c>
      <c r="IK6" s="71">
        <f>R6*L6*'ER18'!$AN$3</f>
        <v>0</v>
      </c>
      <c r="IL6" s="72">
        <f t="shared" ref="IL6" si="509">J6*2*L6</f>
        <v>102444.38096300843</v>
      </c>
      <c r="IM6" s="73">
        <f t="shared" ref="IM6" si="510">H6*M6*L6</f>
        <v>37690.724543882163</v>
      </c>
      <c r="IN6" s="74" t="e">
        <f>SUM('ER18'!$AN$19:$AN$20)/'ER18'!$AN$8*-1</f>
        <v>#DIV/0!</v>
      </c>
      <c r="IO6" s="75" t="e">
        <f t="shared" ref="IO6" si="511">SUM(IQ6:IR6)</f>
        <v>#DIV/0!</v>
      </c>
      <c r="IP6" s="76" t="e">
        <f t="shared" ref="IP6" si="512">IO6/IH6</f>
        <v>#DIV/0!</v>
      </c>
      <c r="IQ6" s="75" t="e">
        <f>('ER18'!$AN$132)/'ER18'!$AN$8</f>
        <v>#DIV/0!</v>
      </c>
      <c r="IR6" s="75" t="e">
        <f>('ER18'!$AN$133)/'ER18'!$AN$8</f>
        <v>#DIV/0!</v>
      </c>
      <c r="IS6" s="75" t="e">
        <f t="shared" ref="IS6" si="513">IU6</f>
        <v>#DIV/0!</v>
      </c>
      <c r="IT6" s="76" t="e">
        <f t="shared" ref="IT6" si="514">IS6/IH6</f>
        <v>#DIV/0!</v>
      </c>
      <c r="IU6" s="75" t="e">
        <f>'ER18'!$AN$136/'ER18'!$AN$8</f>
        <v>#DIV/0!</v>
      </c>
      <c r="IV6" s="75" t="e">
        <f t="shared" ref="IV6" si="515">SUM(IX6:JA6)</f>
        <v>#DIV/0!</v>
      </c>
      <c r="IW6" s="76" t="e">
        <f t="shared" ref="IW6" si="516">IV6/IH6</f>
        <v>#DIV/0!</v>
      </c>
      <c r="IX6" s="65" t="e">
        <f>('ER18'!$AN$139)/'ER18'!$AN$5</f>
        <v>#DIV/0!</v>
      </c>
      <c r="IY6" s="75" t="e">
        <f>'ER18'!$AN$140/'ER18'!$AN$8</f>
        <v>#DIV/0!</v>
      </c>
      <c r="IZ6" s="65" t="e">
        <f>('ER18'!$AN$141)/'ER18'!$AN$8</f>
        <v>#DIV/0!</v>
      </c>
      <c r="JA6" s="75" t="e">
        <f>('ER18'!$AN$142)/'ER18'!$AN$8</f>
        <v>#DIV/0!</v>
      </c>
      <c r="JB6" s="75" t="e">
        <f t="shared" ref="JB6" si="517">SUM(JD6:JE6)</f>
        <v>#DIV/0!</v>
      </c>
      <c r="JC6" s="76" t="e">
        <f t="shared" ref="JC6" si="518">JB6/IH6</f>
        <v>#DIV/0!</v>
      </c>
      <c r="JD6" s="75" t="e">
        <f>('ER18'!$AN$145)/'ER18'!$AN$8</f>
        <v>#DIV/0!</v>
      </c>
      <c r="JE6" s="75" t="e">
        <f>('ER18'!$AN$146)/'ER18'!$AN$8</f>
        <v>#DIV/0!</v>
      </c>
      <c r="JF6" s="75" t="e">
        <f t="shared" ref="JF6" si="519">SUM(JH6)</f>
        <v>#DIV/0!</v>
      </c>
      <c r="JG6" s="76" t="e">
        <f t="shared" ref="JG6" si="520">JF6/IH6</f>
        <v>#DIV/0!</v>
      </c>
      <c r="JH6" s="65" t="e">
        <f>'ER18'!$AN$149/'ER18'!$AN$5</f>
        <v>#DIV/0!</v>
      </c>
      <c r="JI6" s="77" t="e">
        <f t="shared" ref="JI6" si="521">IH6-II6-IO6-IS6-IV6-JB6-JF6</f>
        <v>#DIV/0!</v>
      </c>
      <c r="JJ6" s="70" t="e">
        <f t="shared" ref="JJ6" si="522">JI6/IH6</f>
        <v>#DIV/0!</v>
      </c>
      <c r="JK6" s="64" t="e">
        <f t="shared" ref="JK6" si="523">IF(JJ6&gt;$AZ$1,"ACEPTABLE","REVISAR % U.O.")</f>
        <v>#DIV/0!</v>
      </c>
      <c r="JO6" s="68" t="e">
        <f t="shared" ref="JO6" si="524">(+JS6+JY6+KC6+KF6+KL6+KP6)/L6</f>
        <v>#DIV/0!</v>
      </c>
      <c r="JP6" s="68" t="e">
        <f t="shared" ref="JP6" si="525">(KS6/L6)/H6</f>
        <v>#DIV/0!</v>
      </c>
      <c r="JQ6" s="59"/>
      <c r="JR6" s="67">
        <f t="shared" ref="JR6" si="526">+L6*N6</f>
        <v>323063.3532332757</v>
      </c>
      <c r="JS6" s="69" t="e">
        <f t="shared" ref="JS6" si="527">JU6+JV6+JW6+JX6</f>
        <v>#DIV/0!</v>
      </c>
      <c r="JT6" s="70" t="e">
        <f t="shared" ref="JT6" si="528">JS6/JR6</f>
        <v>#DIV/0!</v>
      </c>
      <c r="JU6" s="71">
        <f>R6*L6*'ER18'!$AN$3</f>
        <v>0</v>
      </c>
      <c r="JV6" s="72">
        <f t="shared" ref="JV6" si="529">J6*2*L6</f>
        <v>102444.38096300843</v>
      </c>
      <c r="JW6" s="73">
        <f t="shared" ref="JW6" si="530">H6*M6*L6</f>
        <v>37690.724543882163</v>
      </c>
      <c r="JX6" s="74" t="e">
        <f>SUM('ER18'!$AR$19:$AR$20)/'ER18'!$AR$8*-1</f>
        <v>#DIV/0!</v>
      </c>
      <c r="JY6" s="75" t="e">
        <f t="shared" ref="JY6" si="531">SUM(KA6:KB6)</f>
        <v>#DIV/0!</v>
      </c>
      <c r="JZ6" s="76" t="e">
        <f t="shared" ref="JZ6" si="532">JY6/JR6</f>
        <v>#DIV/0!</v>
      </c>
      <c r="KA6" s="75" t="e">
        <f>('ER18'!$AR$132)/'ER18'!$AR$8</f>
        <v>#DIV/0!</v>
      </c>
      <c r="KB6" s="75" t="e">
        <f>('ER18'!$AR$133)/'ER18'!$AR$8</f>
        <v>#DIV/0!</v>
      </c>
      <c r="KC6" s="75" t="e">
        <f t="shared" ref="KC6" si="533">KE6</f>
        <v>#DIV/0!</v>
      </c>
      <c r="KD6" s="76" t="e">
        <f t="shared" ref="KD6" si="534">KC6/JR6</f>
        <v>#DIV/0!</v>
      </c>
      <c r="KE6" s="75" t="e">
        <f>'ER18'!$AR$136/'ER18'!$AR$8</f>
        <v>#DIV/0!</v>
      </c>
      <c r="KF6" s="75" t="e">
        <f t="shared" ref="KF6" si="535">SUM(KH6:KK6)</f>
        <v>#DIV/0!</v>
      </c>
      <c r="KG6" s="76" t="e">
        <f t="shared" ref="KG6" si="536">KF6/JR6</f>
        <v>#DIV/0!</v>
      </c>
      <c r="KH6" s="65" t="e">
        <f>('ER18'!$AR$139)/'ER18'!$AR$5</f>
        <v>#DIV/0!</v>
      </c>
      <c r="KI6" s="75" t="e">
        <f>'ER18'!$AR$140/'ER18'!$AR$8</f>
        <v>#DIV/0!</v>
      </c>
      <c r="KJ6" s="65" t="e">
        <f>('ER18'!$AR$141)/'ER18'!$AR$8</f>
        <v>#DIV/0!</v>
      </c>
      <c r="KK6" s="75" t="e">
        <f>('ER18'!$AR$142)/'ER18'!$AR$8</f>
        <v>#DIV/0!</v>
      </c>
      <c r="KL6" s="75" t="e">
        <f t="shared" ref="KL6" si="537">SUM(KN6:KO6)</f>
        <v>#DIV/0!</v>
      </c>
      <c r="KM6" s="76" t="e">
        <f t="shared" ref="KM6" si="538">KL6/JR6</f>
        <v>#DIV/0!</v>
      </c>
      <c r="KN6" s="75" t="e">
        <f>('ER18'!$AR$145)/'ER18'!$AR$8</f>
        <v>#DIV/0!</v>
      </c>
      <c r="KO6" s="75" t="e">
        <f>('ER18'!$AR$146)/'ER18'!$AR$8</f>
        <v>#DIV/0!</v>
      </c>
      <c r="KP6" s="75" t="e">
        <f t="shared" ref="KP6" si="539">SUM(KR6)</f>
        <v>#DIV/0!</v>
      </c>
      <c r="KQ6" s="76" t="e">
        <f t="shared" ref="KQ6" si="540">KP6/JR6</f>
        <v>#DIV/0!</v>
      </c>
      <c r="KR6" s="65" t="e">
        <f>'ER18'!$AR$149/'ER18'!$AR$5</f>
        <v>#DIV/0!</v>
      </c>
      <c r="KS6" s="77" t="e">
        <f t="shared" ref="KS6" si="541">JR6-JS6-JY6-KC6-KF6-KL6-KP6</f>
        <v>#DIV/0!</v>
      </c>
      <c r="KT6" s="70" t="e">
        <f t="shared" ref="KT6" si="542">KS6/JR6</f>
        <v>#DIV/0!</v>
      </c>
      <c r="KU6" s="64" t="e">
        <f t="shared" ref="KU6" si="543">IF(KT6&gt;$AZ$1,"ACEPTABLE","REVISAR % U.O.")</f>
        <v>#DIV/0!</v>
      </c>
      <c r="KY6" s="68" t="e">
        <f t="shared" ref="KY6" si="544">(+LC6+LI6+LM6+LP6+LV6+LZ6)/L6</f>
        <v>#DIV/0!</v>
      </c>
      <c r="KZ6" s="68" t="e">
        <f t="shared" ref="KZ6" si="545">(MC6/L6)/H6</f>
        <v>#DIV/0!</v>
      </c>
      <c r="LA6" s="59"/>
      <c r="LB6" s="67">
        <f t="shared" ref="LB6" si="546">+L6*N6</f>
        <v>323063.3532332757</v>
      </c>
      <c r="LC6" s="69" t="e">
        <f t="shared" ref="LC6" si="547">LE6+LF6+LG6+LH6</f>
        <v>#DIV/0!</v>
      </c>
      <c r="LD6" s="70" t="e">
        <f t="shared" ref="LD6" si="548">LC6/LB6</f>
        <v>#DIV/0!</v>
      </c>
      <c r="LE6" s="71">
        <f>R6*L6*'ER18'!$AN$3</f>
        <v>0</v>
      </c>
      <c r="LF6" s="72">
        <f t="shared" ref="LF6" si="549">J6*2*L6</f>
        <v>102444.38096300843</v>
      </c>
      <c r="LG6" s="73">
        <f t="shared" ref="LG6" si="550">H6*M6*L6</f>
        <v>37690.724543882163</v>
      </c>
      <c r="LH6" s="74" t="e">
        <f>SUM('ER18'!$AV$19:$AV$20)/'ER18'!$AV$8*-1</f>
        <v>#DIV/0!</v>
      </c>
      <c r="LI6" s="75" t="e">
        <f t="shared" ref="LI6" si="551">SUM(LK6:LL6)</f>
        <v>#DIV/0!</v>
      </c>
      <c r="LJ6" s="76" t="e">
        <f t="shared" ref="LJ6" si="552">LI6/LB6</f>
        <v>#DIV/0!</v>
      </c>
      <c r="LK6" s="75" t="e">
        <f>('ER18'!$AV$132)/'ER18'!$AV$8</f>
        <v>#DIV/0!</v>
      </c>
      <c r="LL6" s="75" t="e">
        <f>('ER18'!$AV$133)/'ER18'!$AV$8</f>
        <v>#DIV/0!</v>
      </c>
      <c r="LM6" s="75" t="e">
        <f t="shared" ref="LM6" si="553">LO6</f>
        <v>#DIV/0!</v>
      </c>
      <c r="LN6" s="76" t="e">
        <f t="shared" ref="LN6" si="554">LM6/LB6</f>
        <v>#DIV/0!</v>
      </c>
      <c r="LO6" s="75" t="e">
        <f>'ER18'!$AV$136/'ER18'!$AV$8</f>
        <v>#DIV/0!</v>
      </c>
      <c r="LP6" s="75" t="e">
        <f t="shared" ref="LP6" si="555">SUM(LR6:LU6)</f>
        <v>#DIV/0!</v>
      </c>
      <c r="LQ6" s="76" t="e">
        <f t="shared" ref="LQ6" si="556">LP6/LB6</f>
        <v>#DIV/0!</v>
      </c>
      <c r="LR6" s="65" t="e">
        <f>('ER18'!$AV$139)/'ER18'!$AV$5</f>
        <v>#DIV/0!</v>
      </c>
      <c r="LS6" s="75" t="e">
        <f>'ER18'!$AV$140/'ER18'!$AV$8</f>
        <v>#DIV/0!</v>
      </c>
      <c r="LT6" s="65" t="e">
        <f>('ER18'!$AV$141)/'ER18'!$AV$8</f>
        <v>#DIV/0!</v>
      </c>
      <c r="LU6" s="75" t="e">
        <f>('ER18'!$AV$142)/'ER18'!$AV$8</f>
        <v>#DIV/0!</v>
      </c>
      <c r="LV6" s="75" t="e">
        <f t="shared" ref="LV6" si="557">SUM(LX6:LY6)</f>
        <v>#DIV/0!</v>
      </c>
      <c r="LW6" s="76" t="e">
        <f t="shared" ref="LW6" si="558">LV6/LB6</f>
        <v>#DIV/0!</v>
      </c>
      <c r="LX6" s="75" t="e">
        <f>('ER18'!$AV$145)/'ER18'!$AV$8</f>
        <v>#DIV/0!</v>
      </c>
      <c r="LY6" s="75" t="e">
        <f>('ER18'!$AV$146)/'ER18'!$AV$8</f>
        <v>#DIV/0!</v>
      </c>
      <c r="LZ6" s="75" t="e">
        <f t="shared" ref="LZ6" si="559">SUM(MB6)</f>
        <v>#DIV/0!</v>
      </c>
      <c r="MA6" s="76" t="e">
        <f t="shared" ref="MA6" si="560">LZ6/LB6</f>
        <v>#DIV/0!</v>
      </c>
      <c r="MB6" s="65" t="e">
        <f>'ER18'!$AV$149/'ER18'!$AV$5</f>
        <v>#DIV/0!</v>
      </c>
      <c r="MC6" s="77" t="e">
        <f t="shared" ref="MC6" si="561">LB6-LC6-LI6-LM6-LP6-LV6-LZ6</f>
        <v>#DIV/0!</v>
      </c>
      <c r="MD6" s="70" t="e">
        <f t="shared" ref="MD6" si="562">MC6/LB6</f>
        <v>#DIV/0!</v>
      </c>
      <c r="ME6" s="64" t="e">
        <f t="shared" ref="ME6" si="563">IF(MD6&gt;$AZ$1,"ACEPTABLE","REVISAR % U.O.")</f>
        <v>#DIV/0!</v>
      </c>
    </row>
    <row r="7" spans="1:343" s="64" customFormat="1" ht="11.25" x14ac:dyDescent="0.2">
      <c r="A7" s="64">
        <v>445</v>
      </c>
      <c r="B7" s="84">
        <v>43601</v>
      </c>
      <c r="C7" s="143" t="s">
        <v>187</v>
      </c>
      <c r="D7" s="143" t="s">
        <v>184</v>
      </c>
      <c r="E7" s="143" t="s">
        <v>130</v>
      </c>
      <c r="F7" s="65" t="s">
        <v>129</v>
      </c>
      <c r="G7" s="139">
        <f t="shared" ref="G7" si="564">H7*18</f>
        <v>17676</v>
      </c>
      <c r="H7" s="118">
        <f t="shared" ref="H7" si="565">IF(BB7="TWO WAY",I7*2,I7*1)</f>
        <v>982</v>
      </c>
      <c r="I7" s="147">
        <v>491</v>
      </c>
      <c r="J7" s="147">
        <v>2461</v>
      </c>
      <c r="K7" s="147">
        <v>1.7</v>
      </c>
      <c r="L7" s="147">
        <f t="shared" ref="L7" si="566">BA7</f>
        <v>13.070619648282847</v>
      </c>
      <c r="M7" s="80">
        <v>2.1</v>
      </c>
      <c r="N7" s="67">
        <f t="shared" ref="N7" si="567">G7</f>
        <v>17676</v>
      </c>
      <c r="O7" s="68">
        <f t="shared" ref="O7" si="568">(X7+AK7+AD7+AH7+AQ7+AU7)/L7</f>
        <v>30756.725076258837</v>
      </c>
      <c r="P7" s="68">
        <f t="shared" ref="P7" si="569">N7-O7</f>
        <v>-13080.725076258837</v>
      </c>
      <c r="Q7" s="141">
        <f t="shared" ref="Q7" si="570">H7*L7</f>
        <v>12835.348494613756</v>
      </c>
      <c r="R7" s="141">
        <f t="shared" ref="R7" si="571">H7/K7</f>
        <v>577.64705882352939</v>
      </c>
      <c r="S7" s="141">
        <f t="shared" ref="S7" si="572">G7/H7</f>
        <v>18</v>
      </c>
      <c r="T7" s="141">
        <f t="shared" ref="T7" si="573">O7/H7</f>
        <v>31.320493967677024</v>
      </c>
      <c r="U7" s="141">
        <f t="shared" ref="U7" si="574">(AX7/L7)/H7</f>
        <v>-13.320493967677024</v>
      </c>
      <c r="V7" s="59"/>
      <c r="W7" s="127">
        <f t="shared" ref="W7" si="575">+L7*N7</f>
        <v>231036.27290304759</v>
      </c>
      <c r="X7" s="126">
        <f t="shared" ref="X7" si="576">Z7+AA7+AB7+AC7</f>
        <v>261029.09483128472</v>
      </c>
      <c r="Y7" s="70">
        <f t="shared" ref="Y7" si="577">X7/W7</f>
        <v>1.1298186711176013</v>
      </c>
      <c r="Z7" s="72">
        <f>R7*L7*'ER18'!$BD$3</f>
        <v>158554.30493346404</v>
      </c>
      <c r="AA7" s="72">
        <f>IF(BB7="TWO WAY",(J7*2*L7)*'ER18'!$BD$6,(J7*1*L7)*'ER18'!$BD$6)</f>
        <v>69480.277101556028</v>
      </c>
      <c r="AB7" s="72">
        <f t="shared" ref="AB7" si="578">H7*M7*L7</f>
        <v>26954.231838688891</v>
      </c>
      <c r="AC7" s="74">
        <f>'ER18'!$BD$129/'ER18'!$BD$8</f>
        <v>6040.2809575757583</v>
      </c>
      <c r="AD7" s="126">
        <f t="shared" ref="AD7" si="579">SUM(AF7:AG7)</f>
        <v>16277.567324506665</v>
      </c>
      <c r="AE7" s="76">
        <f t="shared" ref="AE7" si="580">AD7/W7</f>
        <v>7.045459624141967E-2</v>
      </c>
      <c r="AF7" s="72">
        <f>'ER18'!$BD$132/'ER18'!$BD$8</f>
        <v>11764.15967760121</v>
      </c>
      <c r="AG7" s="72">
        <f>'ER18'!$BD$133/'ER18'!$BD$8</f>
        <v>4513.4076469054553</v>
      </c>
      <c r="AH7" s="126">
        <f t="shared" ref="AH7" si="581">AJ7</f>
        <v>3143.4067515151514</v>
      </c>
      <c r="AI7" s="76">
        <f t="shared" ref="AI7" si="582">AH7/W7</f>
        <v>1.3605684994902317E-2</v>
      </c>
      <c r="AJ7" s="75">
        <f>'ER18'!$BD$136/'ER18'!$BD$8</f>
        <v>3143.4067515151514</v>
      </c>
      <c r="AK7" s="126">
        <f t="shared" ref="AK7" si="583">SUM(AM7:AP7)</f>
        <v>89021.581233022764</v>
      </c>
      <c r="AL7" s="76">
        <f t="shared" ref="AL7" si="584">AK7/W7</f>
        <v>0.38531430634002617</v>
      </c>
      <c r="AM7" s="65">
        <f>'ER18'!$BD$139/'ER18'!$BD$5</f>
        <v>65524.036435185197</v>
      </c>
      <c r="AN7" s="75">
        <f>'ER18'!$BD$140/'ER18'!$BD$8</f>
        <v>13161.451340606063</v>
      </c>
      <c r="AO7" s="65">
        <f>'ER18'!$BD$141/'ER18'!$BD$8</f>
        <v>8564.4664969696969</v>
      </c>
      <c r="AP7" s="75">
        <f>'ER18'!$BD$142/'ER18'!$BD$8</f>
        <v>1771.6269602618183</v>
      </c>
      <c r="AQ7" s="126">
        <f t="shared" ref="AQ7" si="585">SUM(AS7:AT7)</f>
        <v>16591.309865660605</v>
      </c>
      <c r="AR7" s="76">
        <f t="shared" ref="AR7" si="586">AQ7/W7</f>
        <v>7.1812575822771382E-2</v>
      </c>
      <c r="AS7" s="75">
        <f>('ER18'!$BD$145)/'ER18'!$BD$8</f>
        <v>12141.341139393939</v>
      </c>
      <c r="AT7" s="75">
        <f>'ER18'!$BD$146/'ER18'!$BD$8</f>
        <v>4449.9687262666666</v>
      </c>
      <c r="AU7" s="126">
        <f t="shared" ref="AU7" si="587">SUM(AW7)</f>
        <v>15946.495092592593</v>
      </c>
      <c r="AV7" s="76">
        <f t="shared" ref="AV7" si="588">AU7/W7</f>
        <v>6.902160813200274E-2</v>
      </c>
      <c r="AW7" s="65">
        <f>'ER18'!$BD$149/'ER18'!$BD$5</f>
        <v>15946.495092592593</v>
      </c>
      <c r="AX7" s="77">
        <f t="shared" ref="AX7" si="589">W7-X7-AD7-AH7-AK7-AQ7-AU7</f>
        <v>-170973.1821955349</v>
      </c>
      <c r="AY7" s="70">
        <f t="shared" ref="AY7" si="590">AX7/W7</f>
        <v>-0.74002744264872355</v>
      </c>
      <c r="AZ7" s="64" t="str">
        <f t="shared" ref="AZ7" si="591">IF(AY7&gt;$AZ$1,"ACEPTABLE","REVISAR % U.O.")</f>
        <v>REVISAR % U.O.</v>
      </c>
      <c r="BA7" s="74">
        <f t="shared" ref="BA7" si="592">624/+(((H7/65)+((H7/65)/14)*8)+8+8+8)</f>
        <v>13.070619648282847</v>
      </c>
      <c r="BB7" s="64" t="s">
        <v>186</v>
      </c>
      <c r="BD7" s="85">
        <v>0.10100000000000001</v>
      </c>
      <c r="BG7" s="68">
        <f t="shared" ref="BG7" si="593">(+BK7+BQ7+BU7+BX7+CD7+CH7)/L7</f>
        <v>28082.26288292155</v>
      </c>
      <c r="BH7" s="68">
        <f t="shared" ref="BH7" si="594">(CK7/L7)/H7</f>
        <v>-10.597009045744956</v>
      </c>
      <c r="BI7" s="59"/>
      <c r="BJ7" s="67">
        <f t="shared" ref="BJ7" si="595">+L7*N7</f>
        <v>231036.27290304759</v>
      </c>
      <c r="BK7" s="69">
        <f t="shared" ref="BK7" si="596">BM7+BN7+BO7+BP7</f>
        <v>231268.94863120266</v>
      </c>
      <c r="BL7" s="70">
        <f t="shared" ref="BL7" si="597">BK7/BJ7</f>
        <v>1.0010070960946149</v>
      </c>
      <c r="BM7" s="71">
        <f>R7*L7*'ER18'!$D$3</f>
        <v>133487.62434398304</v>
      </c>
      <c r="BN7" s="72">
        <f>(J7*2*L7)*'ER18'!$D$6</f>
        <v>64333.589908848175</v>
      </c>
      <c r="BO7" s="73">
        <f t="shared" ref="BO7" si="598">H7*M7*L7</f>
        <v>26954.231838688891</v>
      </c>
      <c r="BP7" s="74">
        <f>SUM('ER18'!$D$129)/'ER18'!$D$8</f>
        <v>6493.5025396825395</v>
      </c>
      <c r="BQ7" s="75">
        <f t="shared" ref="BQ7" si="599">SUM(BS7:BT7)</f>
        <v>17881.94554122222</v>
      </c>
      <c r="BR7" s="76">
        <f t="shared" ref="BR7" si="600">BQ7/BJ7</f>
        <v>7.7398866059124091E-2</v>
      </c>
      <c r="BS7" s="75">
        <f>('ER18'!$D$132)/'ER18'!$D$8</f>
        <v>13867.649826936507</v>
      </c>
      <c r="BT7" s="75">
        <f>('ER18'!$D$133)/'ER18'!$D$8</f>
        <v>4014.2957142857135</v>
      </c>
      <c r="BU7" s="75">
        <f t="shared" ref="BU7" si="601">BW7</f>
        <v>4932.3322222222223</v>
      </c>
      <c r="BV7" s="76">
        <f t="shared" ref="BV7" si="602">BU7/BJ7</f>
        <v>2.1348735245101679E-2</v>
      </c>
      <c r="BW7" s="75">
        <f>'ER18'!$D$136/'ER18'!$D$8</f>
        <v>4932.3322222222223</v>
      </c>
      <c r="BX7" s="75">
        <f t="shared" ref="BX7" si="603">SUM(BZ7:CC7)</f>
        <v>81019.172634920877</v>
      </c>
      <c r="BY7" s="76">
        <f t="shared" ref="BY7" si="604">BX7/BJ7</f>
        <v>0.35067728377405</v>
      </c>
      <c r="BZ7" s="65">
        <f>('ER18'!$D$139)/'ER18'!$D$5</f>
        <v>56411.991111111354</v>
      </c>
      <c r="CA7" s="75">
        <f>'ER18'!$D$140/'ER18'!$D$8</f>
        <v>10217.731523809523</v>
      </c>
      <c r="CB7" s="65">
        <f>('ER18'!$D$141)/'ER18'!$D$8</f>
        <v>12246.49857142857</v>
      </c>
      <c r="CC7" s="75">
        <f>('ER18'!$D$142)/'ER18'!$D$8</f>
        <v>2142.9514285714286</v>
      </c>
      <c r="CD7" s="75">
        <f t="shared" ref="CD7" si="605">SUM(CF7:CG7)</f>
        <v>15157.73714285714</v>
      </c>
      <c r="CE7" s="76">
        <f t="shared" ref="CE7" si="606">CD7/BJ7</f>
        <v>6.5607607638381332E-2</v>
      </c>
      <c r="CF7" s="75">
        <f>('ER18'!$D$145)/'ER18'!$D$8</f>
        <v>11368.493968253966</v>
      </c>
      <c r="CG7" s="75">
        <f>('ER18'!$D$146)/'ER18'!$D$8</f>
        <v>3789.2431746031748</v>
      </c>
      <c r="CH7" s="75">
        <f t="shared" ref="CH7" si="607">SUM(CJ7)</f>
        <v>16792.44083333333</v>
      </c>
      <c r="CI7" s="76">
        <f t="shared" ref="CI7" si="608">CH7/BJ7</f>
        <v>7.2683135952336525E-2</v>
      </c>
      <c r="CJ7" s="65">
        <f>'ER18'!$D$149/'ER18'!$D$5</f>
        <v>16792.44083333333</v>
      </c>
      <c r="CK7" s="77">
        <f t="shared" ref="CK7" si="609">BJ7-BK7-BQ7-BU7-BX7-CD7-CH7</f>
        <v>-136016.30410271086</v>
      </c>
      <c r="CL7" s="70">
        <f t="shared" ref="CL7" si="610">CK7/BJ7</f>
        <v>-0.58872272476360865</v>
      </c>
      <c r="CM7" s="64" t="str">
        <f t="shared" ref="CM7" si="611">IF(CL7&gt;$AZ$1,"ACEPTABLE","REVISAR % U.O.")</f>
        <v>REVISAR % U.O.</v>
      </c>
      <c r="CQ7" s="68">
        <f t="shared" ref="CQ7" si="612">(+CU7+DA7+DE7+DH7+DN7+DR7)/L7</f>
        <v>28848.094757702449</v>
      </c>
      <c r="CR7" s="68" t="e">
        <f>(DU7/#REF!)/H7</f>
        <v>#REF!</v>
      </c>
      <c r="CS7" s="59"/>
      <c r="CT7" s="67">
        <f t="shared" ref="CT7" si="613">L7*N7</f>
        <v>231036.27290304759</v>
      </c>
      <c r="CU7" s="69">
        <f t="shared" ref="CU7" si="614">CW7+CX7+CY7+CZ7</f>
        <v>230878.67976799069</v>
      </c>
      <c r="CV7" s="70">
        <f t="shared" ref="CV7" si="615">CU7/CT7</f>
        <v>0.99931788574548619</v>
      </c>
      <c r="CW7" s="71">
        <f>R7*L7*'ER18'!$H$3</f>
        <v>133487.62434398304</v>
      </c>
      <c r="CX7" s="72">
        <f>(J7*2*L7)*'ER18'!$D$6</f>
        <v>64333.589908848175</v>
      </c>
      <c r="CY7" s="73">
        <f t="shared" ref="CY7" si="616">H7*M7*L7</f>
        <v>26954.231838688891</v>
      </c>
      <c r="CZ7" s="74">
        <f>SUM('ER18'!$H$129)/'ER18'!$H$8</f>
        <v>6103.2336764705869</v>
      </c>
      <c r="DA7" s="75">
        <f t="shared" ref="DA7" si="617">SUM(DC7:DD7)</f>
        <v>15890.227561588235</v>
      </c>
      <c r="DB7" s="76">
        <f t="shared" ref="DB7" si="618">DA7/CT7</f>
        <v>6.8778063989356486E-2</v>
      </c>
      <c r="DC7" s="75">
        <f>('ER18'!$H$132)/'ER18'!$H$8</f>
        <v>10468.572014529411</v>
      </c>
      <c r="DD7" s="75">
        <f>('ER18'!$H$133)/'ER18'!$H$8</f>
        <v>5421.6555470588237</v>
      </c>
      <c r="DE7" s="75">
        <f t="shared" ref="DE7" si="619">DG7</f>
        <v>2500.0539705882352</v>
      </c>
      <c r="DF7" s="76">
        <f t="shared" ref="DF7" si="620">DE7/CT7</f>
        <v>1.082104528078741E-2</v>
      </c>
      <c r="DG7" s="75">
        <f>'ER18'!$H$136/'ER18'!$H$8</f>
        <v>2500.0539705882352</v>
      </c>
      <c r="DH7" s="75">
        <f t="shared" ref="DH7" si="621">SUM(DJ7:DM7)</f>
        <v>95134.918468129006</v>
      </c>
      <c r="DI7" s="76">
        <f t="shared" ref="DI7" si="622">DH7/CT7</f>
        <v>0.41177481471946858</v>
      </c>
      <c r="DJ7" s="65">
        <f>('ER18'!$H$139)/'ER18'!$H$5</f>
        <v>67357.519305555485</v>
      </c>
      <c r="DK7" s="75">
        <f>'ER18'!$H$140/'ER18'!$H$8</f>
        <v>13076.644264705883</v>
      </c>
      <c r="DL7" s="65">
        <f>('ER18'!$H$141)/'ER18'!$H$8</f>
        <v>12538.56705882353</v>
      </c>
      <c r="DM7" s="75">
        <f>('ER18'!$H$142)/'ER18'!$H$8</f>
        <v>2162.1878390441175</v>
      </c>
      <c r="DN7" s="75">
        <f t="shared" ref="DN7" si="623">SUM(DP7:DQ7)</f>
        <v>16568.131470588232</v>
      </c>
      <c r="DO7" s="76">
        <f t="shared" ref="DO7" si="624">DN7/CT7</f>
        <v>7.1712252203535623E-2</v>
      </c>
      <c r="DP7" s="75">
        <f>('ER18'!$H$145)/'ER18'!$H$8</f>
        <v>11364.528529411764</v>
      </c>
      <c r="DQ7" s="75">
        <f>('ER18'!$H$146)/'ER18'!$H$8</f>
        <v>5203.6029411764703</v>
      </c>
      <c r="DR7" s="75">
        <f t="shared" ref="DR7" si="625">SUM(DT7)</f>
        <v>16090.462916666667</v>
      </c>
      <c r="DS7" s="76">
        <f t="shared" ref="DS7" si="626">DR7/CT7</f>
        <v>6.9644747616833716E-2</v>
      </c>
      <c r="DT7" s="65">
        <f>'ER18'!$H$149/'ER18'!$H$5</f>
        <v>16090.462916666667</v>
      </c>
      <c r="DU7" s="77">
        <f t="shared" ref="DU7" si="627">CT7-CU7-DA7-DE7-DH7-DN7-DR7</f>
        <v>-146026.2012525035</v>
      </c>
      <c r="DV7" s="70">
        <f t="shared" ref="DV7" si="628">DU7/CT7</f>
        <v>-0.63204880955546816</v>
      </c>
      <c r="DW7" s="64" t="str">
        <f t="shared" ref="DW7" si="629">IF(DV7&gt;$AZ$1,"ACEPTABLE","REVISAR % U.O.")</f>
        <v>REVISAR % U.O.</v>
      </c>
      <c r="EA7" s="68">
        <f t="shared" ref="EA7" si="630">(+EE7+EK7+EO7+ER7+EX7+FB7)/L7</f>
        <v>28684.713647292905</v>
      </c>
      <c r="EB7" s="68">
        <f t="shared" ref="EB7" si="631">(FE7/L7)/H7</f>
        <v>-11.210502695817622</v>
      </c>
      <c r="EC7" s="59"/>
      <c r="ED7" s="67">
        <f t="shared" ref="ED7" si="632">L7*N7</f>
        <v>231036.27290304759</v>
      </c>
      <c r="EE7" s="69">
        <f t="shared" ref="EE7" si="633">EG7+EH7+EI7+EJ7</f>
        <v>230202.31691343791</v>
      </c>
      <c r="EF7" s="70">
        <f t="shared" ref="EF7" si="634">EE7/ED7</f>
        <v>0.99639036771529099</v>
      </c>
      <c r="EG7" s="71">
        <f>R7*L7*'ER18'!$L$3</f>
        <v>133487.62434398304</v>
      </c>
      <c r="EH7" s="72">
        <f>(J7*2*L7)*'ER18'!$L$6</f>
        <v>64333.589908848175</v>
      </c>
      <c r="EI7" s="73">
        <f t="shared" ref="EI7" si="635">H7*M7*L7</f>
        <v>26954.231838688891</v>
      </c>
      <c r="EJ7" s="74">
        <f>SUM('ER18'!$L$129)/'ER18'!$L$8</f>
        <v>5426.8708219178088</v>
      </c>
      <c r="EK7" s="75">
        <f t="shared" ref="EK7" si="636">SUM(EM7:EN7)</f>
        <v>17639.699749452055</v>
      </c>
      <c r="EL7" s="76">
        <f t="shared" ref="EL7" si="637">EK7/ED7</f>
        <v>7.6350347622056752E-2</v>
      </c>
      <c r="EM7" s="75">
        <f>('ER18'!$L$132)/'ER18'!$L$8</f>
        <v>12589.390472739726</v>
      </c>
      <c r="EN7" s="75">
        <f>('ER18'!$L$133)/'ER18'!$L$8</f>
        <v>5050.3092767123289</v>
      </c>
      <c r="EO7" s="75">
        <f t="shared" ref="EO7" si="638">EQ7</f>
        <v>2328.8173972602735</v>
      </c>
      <c r="EP7" s="76">
        <f t="shared" ref="EP7" si="639">EO7/ED7</f>
        <v>1.0079877795801969E-2</v>
      </c>
      <c r="EQ7" s="75">
        <f>'ER18'!$L$136/'ER18'!$L$8</f>
        <v>2328.8173972602735</v>
      </c>
      <c r="ER7" s="75">
        <f t="shared" ref="ER7" si="640">SUM(ET7:EW7)</f>
        <v>93232.356881651373</v>
      </c>
      <c r="ES7" s="76">
        <f t="shared" ref="ES7" si="641">ER7/ED7</f>
        <v>0.40353991046581478</v>
      </c>
      <c r="ET7" s="65">
        <f>('ER18'!$L$139)/'ER18'!$L$5</f>
        <v>67357.519305555485</v>
      </c>
      <c r="EU7" s="75">
        <f>'ER18'!$L$140/'ER18'!$L$8</f>
        <v>12180.983698630138</v>
      </c>
      <c r="EV7" s="65">
        <f>('ER18'!$L$141)/'ER18'!$L$8</f>
        <v>11679.761095890412</v>
      </c>
      <c r="EW7" s="75">
        <f>('ER18'!$L$142)/'ER18'!$L$8</f>
        <v>2014.0927815753425</v>
      </c>
      <c r="EX7" s="75">
        <f t="shared" ref="EX7" si="642">SUM(EZ7:FA7)</f>
        <v>15433.327945205478</v>
      </c>
      <c r="EY7" s="76">
        <f t="shared" ref="EY7" si="643">EX7/ED7</f>
        <v>6.6800454107403054E-2</v>
      </c>
      <c r="EZ7" s="75">
        <f>('ER18'!$L$145)/'ER18'!$L$8</f>
        <v>10586.136164383561</v>
      </c>
      <c r="FA7" s="75">
        <f>('ER18'!$L$146)/'ER18'!$L$8</f>
        <v>4847.1917808219177</v>
      </c>
      <c r="FB7" s="75">
        <f t="shared" ref="FB7" si="644">SUM(FD7)</f>
        <v>16090.462916666667</v>
      </c>
      <c r="FC7" s="76">
        <f t="shared" ref="FC7" si="645">FB7/ED7</f>
        <v>6.9644747616833716E-2</v>
      </c>
      <c r="FD7" s="65">
        <f>'ER18'!$L$149/'ER18'!$L$5</f>
        <v>16090.462916666667</v>
      </c>
      <c r="FE7" s="77">
        <f t="shared" ref="FE7" si="646">ED7-EE7-EK7-EO7-ER7-EX7-FB7</f>
        <v>-143890.70890062617</v>
      </c>
      <c r="FF7" s="70">
        <f t="shared" ref="FF7" si="647">FE7/ED7</f>
        <v>-0.62280570532320123</v>
      </c>
      <c r="FG7" s="64" t="str">
        <f t="shared" ref="FG7" si="648">IF(FF7&gt;$AZ$1,"ACEPTABLE","REVISAR % U.O.")</f>
        <v>REVISAR % U.O.</v>
      </c>
      <c r="FK7" s="68">
        <f t="shared" ref="FK7" si="649">(+FO7+FU7+FY7+GB7+GH7+GL7)/L7</f>
        <v>28503.969615247897</v>
      </c>
      <c r="FL7" s="68">
        <f t="shared" ref="FL7" si="650">(GO7/L7)/H7</f>
        <v>-11.026445636708656</v>
      </c>
      <c r="FM7" s="59"/>
      <c r="FN7" s="67">
        <f t="shared" ref="FN7" si="651">+L7*N7</f>
        <v>231036.27290304759</v>
      </c>
      <c r="FO7" s="69">
        <f t="shared" ref="FO7" si="652">FQ7+FR7+FS7+FT7</f>
        <v>231325.88491504951</v>
      </c>
      <c r="FP7" s="70">
        <f t="shared" ref="FP7" si="653">FO7/FN7</f>
        <v>1.0012535348166884</v>
      </c>
      <c r="FQ7" s="71">
        <f>R7*L7*'ER18'!$AB$3</f>
        <v>133487.62434398304</v>
      </c>
      <c r="FR7" s="72">
        <f t="shared" ref="FR7" si="654">J7*2*L7</f>
        <v>64333.589908848175</v>
      </c>
      <c r="FS7" s="73">
        <f t="shared" ref="FS7" si="655">H7*M7*L7</f>
        <v>26954.231838688891</v>
      </c>
      <c r="FT7" s="74">
        <f>SUM('ER18'!$AF$19:$AF$20)/'ER18'!$AF$8*-1</f>
        <v>6550.4388235294118</v>
      </c>
      <c r="FU7" s="75">
        <f t="shared" ref="FU7" si="656">SUM(FW7:FX7)</f>
        <v>16465.531481617647</v>
      </c>
      <c r="FV7" s="76">
        <f t="shared" ref="FV7" si="657">FU7/FN7</f>
        <v>7.1268166139986461E-2</v>
      </c>
      <c r="FW7" s="75">
        <f>('ER18'!$AF$132)/'ER18'!$AF$8</f>
        <v>11693.041334573531</v>
      </c>
      <c r="FX7" s="75">
        <f>('ER18'!$AF$133)/'ER18'!$AF$8</f>
        <v>4772.4901470441182</v>
      </c>
      <c r="FY7" s="75">
        <f t="shared" ref="FY7" si="658">GA7</f>
        <v>2186.9889705882351</v>
      </c>
      <c r="FZ7" s="76">
        <f t="shared" ref="FZ7" si="659">FY7/FN7</f>
        <v>9.4659983175282032E-3</v>
      </c>
      <c r="GA7" s="75">
        <f>'ER18'!$AF$136/'ER18'!$AF$8</f>
        <v>2186.9889705882351</v>
      </c>
      <c r="GB7" s="75">
        <f t="shared" ref="GB7" si="660">SUM(GD7:GG7)</f>
        <v>89288.626500318584</v>
      </c>
      <c r="GC7" s="76">
        <f t="shared" ref="GC7" si="661">GB7/FN7</f>
        <v>0.38647016495884956</v>
      </c>
      <c r="GD7" s="65">
        <f>('ER18'!$AF$139)/'ER18'!$AF$5</f>
        <v>67612.202083333294</v>
      </c>
      <c r="GE7" s="75">
        <f>'ER18'!$AF$140/'ER18'!$AF$8</f>
        <v>13132.153970588237</v>
      </c>
      <c r="GF7" s="65">
        <f>('ER18'!$AF$141)/'ER18'!$AF$8</f>
        <v>6349.2911764705877</v>
      </c>
      <c r="GG7" s="75">
        <f>('ER18'!$AF$142)/'ER18'!$AF$8</f>
        <v>2194.9792699264704</v>
      </c>
      <c r="GH7" s="75">
        <f t="shared" ref="GH7" si="662">SUM(GJ7:GK7)</f>
        <v>18383.139411764707</v>
      </c>
      <c r="GI7" s="76">
        <f t="shared" ref="GI7" si="663">GH7/FN7</f>
        <v>7.9568195854159376E-2</v>
      </c>
      <c r="GJ7" s="75">
        <f>('ER18'!$AF$145)/'ER18'!$AF$8</f>
        <v>14589.613235294119</v>
      </c>
      <c r="GK7" s="75">
        <f>('ER18'!$AF$146)/'ER18'!$AF$8</f>
        <v>3793.5261764705883</v>
      </c>
      <c r="GL7" s="75">
        <f t="shared" ref="GL7" si="664">SUM(GN7)</f>
        <v>14914.37402777778</v>
      </c>
      <c r="GM7" s="76">
        <f t="shared" ref="GM7" si="665">GL7/FN7</f>
        <v>6.4554253063268854E-2</v>
      </c>
      <c r="GN7" s="65">
        <f>'ER18'!$AF$149/'ER18'!$AF$5</f>
        <v>14914.37402777778</v>
      </c>
      <c r="GO7" s="77">
        <f t="shared" ref="GO7" si="666">FN7-FO7-FU7-FY7-GB7-GH7-GL7</f>
        <v>-141528.27240406888</v>
      </c>
      <c r="GP7" s="70">
        <f t="shared" ref="GP7" si="667">GO7/FN7</f>
        <v>-0.612580313150481</v>
      </c>
      <c r="GQ7" s="64" t="str">
        <f t="shared" ref="GQ7" si="668">IF(GP7&gt;$AZ$1,"ACEPTABLE","REVISAR % U.O.")</f>
        <v>REVISAR % U.O.</v>
      </c>
      <c r="GU7" s="68">
        <f t="shared" ref="GU7" si="669">(+GY7+HE7+HI7+HL7+HR7+HV7)/L7</f>
        <v>29092.839897954298</v>
      </c>
      <c r="GV7" s="68">
        <f t="shared" ref="GV7" si="670">(HY7/L7)/H7</f>
        <v>-11.626109875717214</v>
      </c>
      <c r="GW7" s="59"/>
      <c r="GX7" s="67">
        <f t="shared" ref="GX7" si="671">+L7*N7</f>
        <v>231036.27290304759</v>
      </c>
      <c r="GY7" s="69">
        <f t="shared" ref="GY7" si="672">HA7+HB7+HC7+HD7</f>
        <v>232410.20541470443</v>
      </c>
      <c r="GZ7" s="70">
        <f t="shared" ref="GZ7" si="673">GY7/GX7</f>
        <v>1.0059468259870752</v>
      </c>
      <c r="HA7" s="71">
        <f>R7*L7*'ER18'!$AJ$3</f>
        <v>135224.17149325431</v>
      </c>
      <c r="HB7" s="72">
        <f t="shared" ref="HB7" si="674">J7*2*L7</f>
        <v>64333.589908848175</v>
      </c>
      <c r="HC7" s="73">
        <f t="shared" ref="HC7" si="675">H7*M7*L7</f>
        <v>26954.231838688891</v>
      </c>
      <c r="HD7" s="74">
        <f>SUM('ER18'!$AJ$19:$AJ$20)/'ER18'!$AJ$8*-1</f>
        <v>5898.2121739130434</v>
      </c>
      <c r="HE7" s="75">
        <f t="shared" ref="HE7" si="676">SUM(HG7:HH7)</f>
        <v>16762.153256869569</v>
      </c>
      <c r="HF7" s="76">
        <f t="shared" ref="HF7" si="677">HE7/GX7</f>
        <v>7.2552041487890795E-2</v>
      </c>
      <c r="HG7" s="75">
        <f>('ER18'!$AJ$132)/'ER18'!$AJ$8</f>
        <v>11860.747025000002</v>
      </c>
      <c r="HH7" s="75">
        <f>('ER18'!$AJ$133)/'ER18'!$AJ$8</f>
        <v>4901.4062318695651</v>
      </c>
      <c r="HI7" s="75">
        <f t="shared" ref="HI7" si="678">HK7</f>
        <v>2186.9889705882351</v>
      </c>
      <c r="HJ7" s="76">
        <f t="shared" ref="HJ7" si="679">HI7/GX7</f>
        <v>9.4659983175282032E-3</v>
      </c>
      <c r="HK7" s="75">
        <f>'ER18'!$AF$136/'ER18'!$AF$8</f>
        <v>2186.9889705882351</v>
      </c>
      <c r="HL7" s="75">
        <f t="shared" ref="HL7" si="680">SUM(HN7:HQ7)</f>
        <v>97947.3812948985</v>
      </c>
      <c r="HM7" s="76">
        <f t="shared" ref="HM7" si="681">HL7/GX7</f>
        <v>0.42394806696003656</v>
      </c>
      <c r="HN7" s="65">
        <f>('ER18'!$AJ$139)/'ER18'!$AJ$5</f>
        <v>69924.344166666619</v>
      </c>
      <c r="HO7" s="75">
        <f>'ER18'!$AJ$140/'ER18'!$AJ$8</f>
        <v>13091.294202898551</v>
      </c>
      <c r="HP7" s="65">
        <f>('ER18'!$AJ$141)/'ER18'!$AJ$8</f>
        <v>12768.095507246377</v>
      </c>
      <c r="HQ7" s="75">
        <f>('ER18'!$AJ$142)/'ER18'!$AJ$8</f>
        <v>2163.6474180869568</v>
      </c>
      <c r="HR7" s="75">
        <f t="shared" ref="HR7" si="682">SUM(HT7:HU7)</f>
        <v>15734.750579710144</v>
      </c>
      <c r="HS7" s="76">
        <f t="shared" ref="HS7" si="683">HR7/GX7</f>
        <v>6.8105109132855071E-2</v>
      </c>
      <c r="HT7" s="75">
        <f>('ER18'!$AJ$145)/'ER18'!$AJ$8</f>
        <v>11654.263913043478</v>
      </c>
      <c r="HU7" s="75">
        <f>('ER18'!$AJ$146)/'ER18'!$AJ$8</f>
        <v>4080.4866666666667</v>
      </c>
      <c r="HV7" s="75">
        <f t="shared" ref="HV7" si="684">SUM(HX7)</f>
        <v>15219.965277777777</v>
      </c>
      <c r="HW7" s="76">
        <f t="shared" ref="HW7" si="685">HV7/GX7</f>
        <v>6.5876951210015008E-2</v>
      </c>
      <c r="HX7" s="65">
        <f>'ER18'!$AJ$149/'ER18'!$AJ$5</f>
        <v>15219.965277777777</v>
      </c>
      <c r="HY7" s="77">
        <f t="shared" ref="HY7" si="686">GX7-GY7-HE7-HI7-HL7-HR7-HV7</f>
        <v>-149225.17189150106</v>
      </c>
      <c r="HZ7" s="70">
        <f t="shared" ref="HZ7" si="687">HY7/GX7</f>
        <v>-0.64589499309540077</v>
      </c>
      <c r="IA7" s="64" t="str">
        <f t="shared" ref="IA7" si="688">IF(HZ7&gt;$AZ$1,"ACEPTABLE","REVISAR % U.O.")</f>
        <v>REVISAR % U.O.</v>
      </c>
      <c r="IE7" s="68" t="e">
        <f t="shared" ref="IE7" si="689">(+II7+IO7+IS7+IV7+JB7+JF7)/L7</f>
        <v>#DIV/0!</v>
      </c>
      <c r="IF7" s="68" t="e">
        <f t="shared" ref="IF7" si="690">(JI7/L7)/H7</f>
        <v>#DIV/0!</v>
      </c>
      <c r="IG7" s="59"/>
      <c r="IH7" s="67">
        <f t="shared" ref="IH7" si="691">+L7*N7</f>
        <v>231036.27290304759</v>
      </c>
      <c r="II7" s="69" t="e">
        <f t="shared" ref="II7" si="692">IK7+IL7+IM7+IN7</f>
        <v>#DIV/0!</v>
      </c>
      <c r="IJ7" s="70" t="e">
        <f t="shared" ref="IJ7" si="693">II7/IH7</f>
        <v>#DIV/0!</v>
      </c>
      <c r="IK7" s="71">
        <f>R7*L7*'ER18'!$AN$3</f>
        <v>0</v>
      </c>
      <c r="IL7" s="72">
        <f t="shared" ref="IL7" si="694">J7*2*L7</f>
        <v>64333.589908848175</v>
      </c>
      <c r="IM7" s="73">
        <f t="shared" ref="IM7" si="695">H7*M7*L7</f>
        <v>26954.231838688891</v>
      </c>
      <c r="IN7" s="74" t="e">
        <f>SUM('ER18'!$AN$19:$AN$20)/'ER18'!$AN$8*-1</f>
        <v>#DIV/0!</v>
      </c>
      <c r="IO7" s="75" t="e">
        <f t="shared" ref="IO7" si="696">SUM(IQ7:IR7)</f>
        <v>#DIV/0!</v>
      </c>
      <c r="IP7" s="76" t="e">
        <f t="shared" ref="IP7" si="697">IO7/IH7</f>
        <v>#DIV/0!</v>
      </c>
      <c r="IQ7" s="75" t="e">
        <f>('ER18'!$AN$132)/'ER18'!$AN$8</f>
        <v>#DIV/0!</v>
      </c>
      <c r="IR7" s="75" t="e">
        <f>('ER18'!$AN$133)/'ER18'!$AN$8</f>
        <v>#DIV/0!</v>
      </c>
      <c r="IS7" s="75" t="e">
        <f t="shared" ref="IS7" si="698">IU7</f>
        <v>#DIV/0!</v>
      </c>
      <c r="IT7" s="76" t="e">
        <f t="shared" ref="IT7" si="699">IS7/IH7</f>
        <v>#DIV/0!</v>
      </c>
      <c r="IU7" s="75" t="e">
        <f>'ER18'!$AN$136/'ER18'!$AN$8</f>
        <v>#DIV/0!</v>
      </c>
      <c r="IV7" s="75" t="e">
        <f t="shared" ref="IV7" si="700">SUM(IX7:JA7)</f>
        <v>#DIV/0!</v>
      </c>
      <c r="IW7" s="76" t="e">
        <f t="shared" ref="IW7" si="701">IV7/IH7</f>
        <v>#DIV/0!</v>
      </c>
      <c r="IX7" s="65" t="e">
        <f>('ER18'!$AN$139)/'ER18'!$AN$5</f>
        <v>#DIV/0!</v>
      </c>
      <c r="IY7" s="75" t="e">
        <f>'ER18'!$AN$140/'ER18'!$AN$8</f>
        <v>#DIV/0!</v>
      </c>
      <c r="IZ7" s="65" t="e">
        <f>('ER18'!$AN$141)/'ER18'!$AN$8</f>
        <v>#DIV/0!</v>
      </c>
      <c r="JA7" s="75" t="e">
        <f>('ER18'!$AN$142)/'ER18'!$AN$8</f>
        <v>#DIV/0!</v>
      </c>
      <c r="JB7" s="75" t="e">
        <f t="shared" ref="JB7" si="702">SUM(JD7:JE7)</f>
        <v>#DIV/0!</v>
      </c>
      <c r="JC7" s="76" t="e">
        <f t="shared" ref="JC7" si="703">JB7/IH7</f>
        <v>#DIV/0!</v>
      </c>
      <c r="JD7" s="75" t="e">
        <f>('ER18'!$AN$145)/'ER18'!$AN$8</f>
        <v>#DIV/0!</v>
      </c>
      <c r="JE7" s="75" t="e">
        <f>('ER18'!$AN$146)/'ER18'!$AN$8</f>
        <v>#DIV/0!</v>
      </c>
      <c r="JF7" s="75" t="e">
        <f t="shared" ref="JF7" si="704">SUM(JH7)</f>
        <v>#DIV/0!</v>
      </c>
      <c r="JG7" s="76" t="e">
        <f t="shared" ref="JG7" si="705">JF7/IH7</f>
        <v>#DIV/0!</v>
      </c>
      <c r="JH7" s="65" t="e">
        <f>'ER18'!$AN$149/'ER18'!$AN$5</f>
        <v>#DIV/0!</v>
      </c>
      <c r="JI7" s="77" t="e">
        <f t="shared" ref="JI7" si="706">IH7-II7-IO7-IS7-IV7-JB7-JF7</f>
        <v>#DIV/0!</v>
      </c>
      <c r="JJ7" s="70" t="e">
        <f t="shared" ref="JJ7" si="707">JI7/IH7</f>
        <v>#DIV/0!</v>
      </c>
      <c r="JK7" s="64" t="e">
        <f t="shared" ref="JK7" si="708">IF(JJ7&gt;$AZ$1,"ACEPTABLE","REVISAR % U.O.")</f>
        <v>#DIV/0!</v>
      </c>
      <c r="JO7" s="68" t="e">
        <f t="shared" ref="JO7" si="709">(+JS7+JY7+KC7+KF7+KL7+KP7)/L7</f>
        <v>#DIV/0!</v>
      </c>
      <c r="JP7" s="68" t="e">
        <f t="shared" ref="JP7" si="710">(KS7/L7)/H7</f>
        <v>#DIV/0!</v>
      </c>
      <c r="JQ7" s="59"/>
      <c r="JR7" s="67">
        <f t="shared" ref="JR7" si="711">+L7*N7</f>
        <v>231036.27290304759</v>
      </c>
      <c r="JS7" s="69" t="e">
        <f t="shared" ref="JS7" si="712">JU7+JV7+JW7+JX7</f>
        <v>#DIV/0!</v>
      </c>
      <c r="JT7" s="70" t="e">
        <f t="shared" ref="JT7" si="713">JS7/JR7</f>
        <v>#DIV/0!</v>
      </c>
      <c r="JU7" s="71">
        <f>R7*L7*'ER18'!$AN$3</f>
        <v>0</v>
      </c>
      <c r="JV7" s="72">
        <f t="shared" ref="JV7" si="714">J7*2*L7</f>
        <v>64333.589908848175</v>
      </c>
      <c r="JW7" s="73">
        <f t="shared" ref="JW7" si="715">H7*M7*L7</f>
        <v>26954.231838688891</v>
      </c>
      <c r="JX7" s="74" t="e">
        <f>SUM('ER18'!$AR$19:$AR$20)/'ER18'!$AR$8*-1</f>
        <v>#DIV/0!</v>
      </c>
      <c r="JY7" s="75" t="e">
        <f t="shared" ref="JY7" si="716">SUM(KA7:KB7)</f>
        <v>#DIV/0!</v>
      </c>
      <c r="JZ7" s="76" t="e">
        <f t="shared" ref="JZ7" si="717">JY7/JR7</f>
        <v>#DIV/0!</v>
      </c>
      <c r="KA7" s="75" t="e">
        <f>('ER18'!$AR$132)/'ER18'!$AR$8</f>
        <v>#DIV/0!</v>
      </c>
      <c r="KB7" s="75" t="e">
        <f>('ER18'!$AR$133)/'ER18'!$AR$8</f>
        <v>#DIV/0!</v>
      </c>
      <c r="KC7" s="75" t="e">
        <f t="shared" ref="KC7" si="718">KE7</f>
        <v>#DIV/0!</v>
      </c>
      <c r="KD7" s="76" t="e">
        <f t="shared" ref="KD7" si="719">KC7/JR7</f>
        <v>#DIV/0!</v>
      </c>
      <c r="KE7" s="75" t="e">
        <f>'ER18'!$AR$136/'ER18'!$AR$8</f>
        <v>#DIV/0!</v>
      </c>
      <c r="KF7" s="75" t="e">
        <f t="shared" ref="KF7" si="720">SUM(KH7:KK7)</f>
        <v>#DIV/0!</v>
      </c>
      <c r="KG7" s="76" t="e">
        <f t="shared" ref="KG7" si="721">KF7/JR7</f>
        <v>#DIV/0!</v>
      </c>
      <c r="KH7" s="65" t="e">
        <f>('ER18'!$AR$139)/'ER18'!$AR$5</f>
        <v>#DIV/0!</v>
      </c>
      <c r="KI7" s="75" t="e">
        <f>'ER18'!$AR$140/'ER18'!$AR$8</f>
        <v>#DIV/0!</v>
      </c>
      <c r="KJ7" s="65" t="e">
        <f>('ER18'!$AR$141)/'ER18'!$AR$8</f>
        <v>#DIV/0!</v>
      </c>
      <c r="KK7" s="75" t="e">
        <f>('ER18'!$AR$142)/'ER18'!$AR$8</f>
        <v>#DIV/0!</v>
      </c>
      <c r="KL7" s="75" t="e">
        <f t="shared" ref="KL7" si="722">SUM(KN7:KO7)</f>
        <v>#DIV/0!</v>
      </c>
      <c r="KM7" s="76" t="e">
        <f t="shared" ref="KM7" si="723">KL7/JR7</f>
        <v>#DIV/0!</v>
      </c>
      <c r="KN7" s="75" t="e">
        <f>('ER18'!$AR$145)/'ER18'!$AR$8</f>
        <v>#DIV/0!</v>
      </c>
      <c r="KO7" s="75" t="e">
        <f>('ER18'!$AR$146)/'ER18'!$AR$8</f>
        <v>#DIV/0!</v>
      </c>
      <c r="KP7" s="75" t="e">
        <f t="shared" ref="KP7" si="724">SUM(KR7)</f>
        <v>#DIV/0!</v>
      </c>
      <c r="KQ7" s="76" t="e">
        <f t="shared" ref="KQ7" si="725">KP7/JR7</f>
        <v>#DIV/0!</v>
      </c>
      <c r="KR7" s="65" t="e">
        <f>'ER18'!$AR$149/'ER18'!$AR$5</f>
        <v>#DIV/0!</v>
      </c>
      <c r="KS7" s="77" t="e">
        <f t="shared" ref="KS7" si="726">JR7-JS7-JY7-KC7-KF7-KL7-KP7</f>
        <v>#DIV/0!</v>
      </c>
      <c r="KT7" s="70" t="e">
        <f t="shared" ref="KT7" si="727">KS7/JR7</f>
        <v>#DIV/0!</v>
      </c>
      <c r="KU7" s="64" t="e">
        <f t="shared" ref="KU7" si="728">IF(KT7&gt;$AZ$1,"ACEPTABLE","REVISAR % U.O.")</f>
        <v>#DIV/0!</v>
      </c>
      <c r="KY7" s="68" t="e">
        <f t="shared" ref="KY7" si="729">(+LC7+LI7+LM7+LP7+LV7+LZ7)/L7</f>
        <v>#DIV/0!</v>
      </c>
      <c r="KZ7" s="68" t="e">
        <f t="shared" ref="KZ7" si="730">(MC7/L7)/H7</f>
        <v>#DIV/0!</v>
      </c>
      <c r="LA7" s="59"/>
      <c r="LB7" s="67">
        <f t="shared" ref="LB7" si="731">+L7*N7</f>
        <v>231036.27290304759</v>
      </c>
      <c r="LC7" s="69" t="e">
        <f t="shared" ref="LC7" si="732">LE7+LF7+LG7+LH7</f>
        <v>#DIV/0!</v>
      </c>
      <c r="LD7" s="70" t="e">
        <f t="shared" ref="LD7" si="733">LC7/LB7</f>
        <v>#DIV/0!</v>
      </c>
      <c r="LE7" s="71">
        <f>R7*L7*'ER18'!$AN$3</f>
        <v>0</v>
      </c>
      <c r="LF7" s="72">
        <f t="shared" ref="LF7" si="734">J7*2*L7</f>
        <v>64333.589908848175</v>
      </c>
      <c r="LG7" s="73">
        <f t="shared" ref="LG7" si="735">H7*M7*L7</f>
        <v>26954.231838688891</v>
      </c>
      <c r="LH7" s="74" t="e">
        <f>SUM('ER18'!$AV$19:$AV$20)/'ER18'!$AV$8*-1</f>
        <v>#DIV/0!</v>
      </c>
      <c r="LI7" s="75" t="e">
        <f t="shared" ref="LI7" si="736">SUM(LK7:LL7)</f>
        <v>#DIV/0!</v>
      </c>
      <c r="LJ7" s="76" t="e">
        <f t="shared" ref="LJ7" si="737">LI7/LB7</f>
        <v>#DIV/0!</v>
      </c>
      <c r="LK7" s="75" t="e">
        <f>('ER18'!$AV$132)/'ER18'!$AV$8</f>
        <v>#DIV/0!</v>
      </c>
      <c r="LL7" s="75" t="e">
        <f>('ER18'!$AV$133)/'ER18'!$AV$8</f>
        <v>#DIV/0!</v>
      </c>
      <c r="LM7" s="75" t="e">
        <f t="shared" ref="LM7" si="738">LO7</f>
        <v>#DIV/0!</v>
      </c>
      <c r="LN7" s="76" t="e">
        <f t="shared" ref="LN7" si="739">LM7/LB7</f>
        <v>#DIV/0!</v>
      </c>
      <c r="LO7" s="75" t="e">
        <f>'ER18'!$AV$136/'ER18'!$AV$8</f>
        <v>#DIV/0!</v>
      </c>
      <c r="LP7" s="75" t="e">
        <f t="shared" ref="LP7" si="740">SUM(LR7:LU7)</f>
        <v>#DIV/0!</v>
      </c>
      <c r="LQ7" s="76" t="e">
        <f t="shared" ref="LQ7" si="741">LP7/LB7</f>
        <v>#DIV/0!</v>
      </c>
      <c r="LR7" s="65" t="e">
        <f>('ER18'!$AV$139)/'ER18'!$AV$5</f>
        <v>#DIV/0!</v>
      </c>
      <c r="LS7" s="75" t="e">
        <f>'ER18'!$AV$140/'ER18'!$AV$8</f>
        <v>#DIV/0!</v>
      </c>
      <c r="LT7" s="65" t="e">
        <f>('ER18'!$AV$141)/'ER18'!$AV$8</f>
        <v>#DIV/0!</v>
      </c>
      <c r="LU7" s="75" t="e">
        <f>('ER18'!$AV$142)/'ER18'!$AV$8</f>
        <v>#DIV/0!</v>
      </c>
      <c r="LV7" s="75" t="e">
        <f t="shared" ref="LV7" si="742">SUM(LX7:LY7)</f>
        <v>#DIV/0!</v>
      </c>
      <c r="LW7" s="76" t="e">
        <f t="shared" ref="LW7" si="743">LV7/LB7</f>
        <v>#DIV/0!</v>
      </c>
      <c r="LX7" s="75" t="e">
        <f>('ER18'!$AV$145)/'ER18'!$AV$8</f>
        <v>#DIV/0!</v>
      </c>
      <c r="LY7" s="75" t="e">
        <f>('ER18'!$AV$146)/'ER18'!$AV$8</f>
        <v>#DIV/0!</v>
      </c>
      <c r="LZ7" s="75" t="e">
        <f t="shared" ref="LZ7" si="744">SUM(MB7)</f>
        <v>#DIV/0!</v>
      </c>
      <c r="MA7" s="76" t="e">
        <f t="shared" ref="MA7" si="745">LZ7/LB7</f>
        <v>#DIV/0!</v>
      </c>
      <c r="MB7" s="65" t="e">
        <f>'ER18'!$AV$149/'ER18'!$AV$5</f>
        <v>#DIV/0!</v>
      </c>
      <c r="MC7" s="77" t="e">
        <f t="shared" ref="MC7" si="746">LB7-LC7-LI7-LM7-LP7-LV7-LZ7</f>
        <v>#DIV/0!</v>
      </c>
      <c r="MD7" s="70" t="e">
        <f t="shared" ref="MD7" si="747">MC7/LB7</f>
        <v>#DIV/0!</v>
      </c>
      <c r="ME7" s="64" t="e">
        <f t="shared" ref="ME7" si="748">IF(MD7&gt;$AZ$1,"ACEPTABLE","REVISAR % U.O.")</f>
        <v>#DIV/0!</v>
      </c>
    </row>
  </sheetData>
  <autoFilter ref="A1:ME3"/>
  <conditionalFormatting sqref="AZ2 GQ2 IA2 JK2 KU2 ME2 CM2 DW2 FG2">
    <cfRule type="cellIs" dxfId="11" priority="13" operator="equal">
      <formula>"ACEPTABLE"</formula>
    </cfRule>
    <cfRule type="cellIs" dxfId="10" priority="14" operator="equal">
      <formula>"REVISAR % U.O."</formula>
    </cfRule>
  </conditionalFormatting>
  <conditionalFormatting sqref="AZ3 GQ3 IA3 JK3 KU3 ME3 CM3 DW3 FG3">
    <cfRule type="cellIs" dxfId="9" priority="11" operator="equal">
      <formula>"ACEPTABLE"</formula>
    </cfRule>
    <cfRule type="cellIs" dxfId="8" priority="12" operator="equal">
      <formula>"REVISAR % U.O."</formula>
    </cfRule>
  </conditionalFormatting>
  <conditionalFormatting sqref="AZ4 GQ4 IA4 JK4 KU4 ME4 CM4 DW4 FG4">
    <cfRule type="cellIs" dxfId="7" priority="9" operator="equal">
      <formula>"ACEPTABLE"</formula>
    </cfRule>
    <cfRule type="cellIs" dxfId="6" priority="10" operator="equal">
      <formula>"REVISAR % U.O."</formula>
    </cfRule>
  </conditionalFormatting>
  <conditionalFormatting sqref="AZ5 GQ5 IA5 JK5 KU5 ME5 CM5 DW5 FG5">
    <cfRule type="cellIs" dxfId="5" priority="7" operator="equal">
      <formula>"ACEPTABLE"</formula>
    </cfRule>
    <cfRule type="cellIs" dxfId="4" priority="8" operator="equal">
      <formula>"REVISAR % U.O."</formula>
    </cfRule>
  </conditionalFormatting>
  <conditionalFormatting sqref="AZ7 GQ7 IA7 JK7 KU7 ME7 CM7 DW7 FG7">
    <cfRule type="cellIs" dxfId="3" priority="3" operator="equal">
      <formula>"ACEPTABLE"</formula>
    </cfRule>
    <cfRule type="cellIs" dxfId="2" priority="4" operator="equal">
      <formula>"REVISAR % U.O."</formula>
    </cfRule>
  </conditionalFormatting>
  <conditionalFormatting sqref="AZ6 GQ6 IA6 JK6 KU6 ME6 CM6 DW6 FG6">
    <cfRule type="cellIs" dxfId="1" priority="1" operator="equal">
      <formula>"ACEPTABLE"</formula>
    </cfRule>
    <cfRule type="cellIs" dxfId="0" priority="2" operator="equal">
      <formula>"REVISAR % U.O."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ER18</vt:lpstr>
      <vt:lpstr>Cot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Mario Corcuera Davila</dc:creator>
  <cp:lastModifiedBy>Jorge</cp:lastModifiedBy>
  <cp:lastPrinted>2019-05-17T15:53:08Z</cp:lastPrinted>
  <dcterms:created xsi:type="dcterms:W3CDTF">2018-04-12T22:48:12Z</dcterms:created>
  <dcterms:modified xsi:type="dcterms:W3CDTF">2019-06-12T20:33:31Z</dcterms:modified>
</cp:coreProperties>
</file>